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mpus4D055\Desktop\통계프로젝트\1프코덱스\outputs\01a0c7e5-e254-79d0-bd27-90f9becc2484\"/>
    </mc:Choice>
  </mc:AlternateContent>
  <xr:revisionPtr revIDLastSave="0" documentId="13_ncr:1_{4CEA31D1-D679-4830-99FA-AA07BF81A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금리 통합비교" sheetId="1" r:id="rId1"/>
    <sheet name="출처 및 기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7" i="1" l="1"/>
  <c r="E197" i="1"/>
  <c r="H196" i="1"/>
  <c r="E196" i="1"/>
  <c r="H195" i="1"/>
  <c r="E195" i="1"/>
  <c r="H194" i="1"/>
  <c r="E194" i="1"/>
  <c r="H193" i="1"/>
  <c r="E193" i="1"/>
  <c r="H192" i="1"/>
  <c r="E192" i="1"/>
  <c r="H191" i="1"/>
  <c r="E191" i="1"/>
  <c r="H190" i="1"/>
  <c r="E190" i="1"/>
  <c r="H189" i="1"/>
  <c r="E189" i="1"/>
  <c r="H188" i="1"/>
  <c r="E188" i="1"/>
  <c r="H187" i="1"/>
  <c r="E187" i="1"/>
  <c r="H186" i="1"/>
  <c r="E186" i="1"/>
  <c r="H185" i="1"/>
  <c r="E185" i="1"/>
  <c r="H184" i="1"/>
  <c r="E184" i="1"/>
  <c r="H183" i="1"/>
  <c r="E183" i="1"/>
  <c r="H182" i="1"/>
  <c r="E182" i="1"/>
  <c r="H181" i="1"/>
  <c r="E181" i="1"/>
  <c r="H180" i="1"/>
  <c r="E180" i="1"/>
  <c r="H179" i="1"/>
  <c r="E179" i="1"/>
  <c r="H178" i="1"/>
  <c r="E178" i="1"/>
  <c r="H177" i="1"/>
  <c r="E177" i="1"/>
  <c r="H176" i="1"/>
  <c r="E176" i="1"/>
  <c r="H175" i="1"/>
  <c r="E175" i="1"/>
  <c r="H174" i="1"/>
  <c r="E174" i="1"/>
  <c r="J173" i="1"/>
  <c r="H173" i="1"/>
  <c r="E173" i="1"/>
  <c r="I173" i="1" s="1"/>
  <c r="H172" i="1"/>
  <c r="E172" i="1"/>
  <c r="H171" i="1"/>
  <c r="E171" i="1"/>
  <c r="H170" i="1"/>
  <c r="E170" i="1"/>
  <c r="H169" i="1"/>
  <c r="E169" i="1"/>
  <c r="H168" i="1"/>
  <c r="E168" i="1"/>
  <c r="H167" i="1"/>
  <c r="E167" i="1"/>
  <c r="H166" i="1"/>
  <c r="E166" i="1"/>
  <c r="H165" i="1"/>
  <c r="E165" i="1"/>
  <c r="H164" i="1"/>
  <c r="E164" i="1"/>
  <c r="H163" i="1"/>
  <c r="E163" i="1"/>
  <c r="H162" i="1"/>
  <c r="E162" i="1"/>
  <c r="H161" i="1"/>
  <c r="E161" i="1"/>
  <c r="H160" i="1"/>
  <c r="E160" i="1"/>
  <c r="H159" i="1"/>
  <c r="E159" i="1"/>
  <c r="H158" i="1"/>
  <c r="E158" i="1"/>
  <c r="H157" i="1"/>
  <c r="E157" i="1"/>
  <c r="H156" i="1"/>
  <c r="E156" i="1"/>
  <c r="H155" i="1"/>
  <c r="E155" i="1"/>
  <c r="H154" i="1"/>
  <c r="E154" i="1"/>
  <c r="H153" i="1"/>
  <c r="E153" i="1"/>
  <c r="H152" i="1"/>
  <c r="E152" i="1"/>
  <c r="H151" i="1"/>
  <c r="E151" i="1"/>
  <c r="H150" i="1"/>
  <c r="E150" i="1"/>
  <c r="H149" i="1"/>
  <c r="E149" i="1"/>
  <c r="H148" i="1"/>
  <c r="E148" i="1"/>
  <c r="H147" i="1"/>
  <c r="E147" i="1"/>
  <c r="H146" i="1"/>
  <c r="E146" i="1"/>
  <c r="H145" i="1"/>
  <c r="E145" i="1"/>
  <c r="H144" i="1"/>
  <c r="E144" i="1"/>
  <c r="H143" i="1"/>
  <c r="E143" i="1"/>
  <c r="H142" i="1"/>
  <c r="E142" i="1"/>
  <c r="H141" i="1"/>
  <c r="E141" i="1"/>
  <c r="H140" i="1"/>
  <c r="E140" i="1"/>
  <c r="H139" i="1"/>
  <c r="E139" i="1"/>
  <c r="H138" i="1"/>
  <c r="E138" i="1"/>
  <c r="H137" i="1"/>
  <c r="E137" i="1"/>
  <c r="H136" i="1"/>
  <c r="E136" i="1"/>
  <c r="H135" i="1"/>
  <c r="E135" i="1"/>
  <c r="H134" i="1"/>
  <c r="E134" i="1"/>
  <c r="H133" i="1"/>
  <c r="E133" i="1"/>
  <c r="H132" i="1"/>
  <c r="E132" i="1"/>
  <c r="H131" i="1"/>
  <c r="E131" i="1"/>
  <c r="H130" i="1"/>
  <c r="E130" i="1"/>
  <c r="H129" i="1"/>
  <c r="E129" i="1"/>
  <c r="H128" i="1"/>
  <c r="E128" i="1"/>
  <c r="H127" i="1"/>
  <c r="E127" i="1"/>
  <c r="H126" i="1"/>
  <c r="E126" i="1"/>
  <c r="H125" i="1"/>
  <c r="E125" i="1"/>
  <c r="H124" i="1"/>
  <c r="E124" i="1"/>
  <c r="H123" i="1"/>
  <c r="E123" i="1"/>
  <c r="H122" i="1"/>
  <c r="E122" i="1"/>
  <c r="H121" i="1"/>
  <c r="E121" i="1"/>
  <c r="H120" i="1"/>
  <c r="E120" i="1"/>
  <c r="H119" i="1"/>
  <c r="E119" i="1"/>
  <c r="H118" i="1"/>
  <c r="E118" i="1"/>
  <c r="H117" i="1"/>
  <c r="E117" i="1"/>
  <c r="H116" i="1"/>
  <c r="E116" i="1"/>
  <c r="H115" i="1"/>
  <c r="E115" i="1"/>
  <c r="H114" i="1"/>
  <c r="E114" i="1"/>
  <c r="H113" i="1"/>
  <c r="E113" i="1"/>
  <c r="H112" i="1"/>
  <c r="E112" i="1"/>
  <c r="H111" i="1"/>
  <c r="E111" i="1"/>
  <c r="H110" i="1"/>
  <c r="E110" i="1"/>
  <c r="H109" i="1"/>
  <c r="E109" i="1"/>
  <c r="H108" i="1"/>
  <c r="E108" i="1"/>
  <c r="H107" i="1"/>
  <c r="E107" i="1"/>
  <c r="H106" i="1"/>
  <c r="E106" i="1"/>
  <c r="H105" i="1"/>
  <c r="E105" i="1"/>
  <c r="H104" i="1"/>
  <c r="E104" i="1"/>
  <c r="H103" i="1"/>
  <c r="E103" i="1"/>
  <c r="H102" i="1"/>
  <c r="E102" i="1"/>
  <c r="H101" i="1"/>
  <c r="E101" i="1"/>
  <c r="H100" i="1"/>
  <c r="E100" i="1"/>
  <c r="H99" i="1"/>
  <c r="E99" i="1"/>
  <c r="H98" i="1"/>
  <c r="E98" i="1"/>
  <c r="H97" i="1"/>
  <c r="E97" i="1"/>
  <c r="H96" i="1"/>
  <c r="E96" i="1"/>
  <c r="H95" i="1"/>
  <c r="E95" i="1"/>
  <c r="H94" i="1"/>
  <c r="E94" i="1"/>
  <c r="H93" i="1"/>
  <c r="E93" i="1"/>
  <c r="H92" i="1"/>
  <c r="E92" i="1"/>
  <c r="H91" i="1"/>
  <c r="E91" i="1"/>
  <c r="H90" i="1"/>
  <c r="E90" i="1"/>
  <c r="H89" i="1"/>
  <c r="E89" i="1"/>
  <c r="H88" i="1"/>
  <c r="E88" i="1"/>
  <c r="H87" i="1"/>
  <c r="E87" i="1"/>
  <c r="H86" i="1"/>
  <c r="E86" i="1"/>
  <c r="H85" i="1"/>
  <c r="E85" i="1"/>
  <c r="H84" i="1"/>
  <c r="E84" i="1"/>
  <c r="H83" i="1"/>
  <c r="E83" i="1"/>
  <c r="H82" i="1"/>
  <c r="E82" i="1"/>
  <c r="H81" i="1"/>
  <c r="E81" i="1"/>
  <c r="H80" i="1"/>
  <c r="E80" i="1"/>
  <c r="H79" i="1"/>
  <c r="E79" i="1"/>
  <c r="H78" i="1"/>
  <c r="E78" i="1"/>
  <c r="H77" i="1"/>
  <c r="E77" i="1"/>
  <c r="H76" i="1"/>
  <c r="E76" i="1"/>
  <c r="J75" i="1"/>
  <c r="H75" i="1"/>
  <c r="E75" i="1"/>
  <c r="I75" i="1" s="1"/>
  <c r="H74" i="1"/>
  <c r="E74" i="1"/>
  <c r="H73" i="1"/>
  <c r="E73" i="1"/>
  <c r="H72" i="1"/>
  <c r="E72" i="1"/>
  <c r="H71" i="1"/>
  <c r="E71" i="1"/>
  <c r="H70" i="1"/>
  <c r="E70" i="1"/>
  <c r="H69" i="1"/>
  <c r="E69" i="1"/>
  <c r="H68" i="1"/>
  <c r="E68" i="1"/>
  <c r="H67" i="1"/>
  <c r="E67" i="1"/>
  <c r="H66" i="1"/>
  <c r="E66" i="1"/>
  <c r="H65" i="1"/>
  <c r="E65" i="1"/>
  <c r="H64" i="1"/>
  <c r="E64" i="1"/>
  <c r="H63" i="1"/>
  <c r="E63" i="1"/>
  <c r="H62" i="1"/>
  <c r="E62" i="1"/>
  <c r="H61" i="1"/>
  <c r="E61" i="1"/>
  <c r="H60" i="1"/>
  <c r="E60" i="1"/>
  <c r="H59" i="1"/>
  <c r="E59" i="1"/>
  <c r="H58" i="1"/>
  <c r="E58" i="1"/>
  <c r="H57" i="1"/>
  <c r="E57" i="1"/>
  <c r="H56" i="1"/>
  <c r="E56" i="1"/>
  <c r="H55" i="1"/>
  <c r="E55" i="1"/>
  <c r="H54" i="1"/>
  <c r="E54" i="1"/>
  <c r="H53" i="1"/>
  <c r="E53" i="1"/>
  <c r="H52" i="1"/>
  <c r="E52" i="1"/>
  <c r="H51" i="1"/>
  <c r="E51" i="1"/>
  <c r="H50" i="1"/>
  <c r="E50" i="1"/>
  <c r="H49" i="1"/>
  <c r="E49" i="1"/>
  <c r="H48" i="1"/>
  <c r="E48" i="1"/>
  <c r="H47" i="1"/>
  <c r="E47" i="1"/>
  <c r="H46" i="1"/>
  <c r="E46" i="1"/>
  <c r="H45" i="1"/>
  <c r="E45" i="1"/>
  <c r="H44" i="1"/>
  <c r="E44" i="1"/>
  <c r="H43" i="1"/>
  <c r="E43" i="1"/>
  <c r="H42" i="1"/>
  <c r="E42" i="1"/>
  <c r="H41" i="1"/>
  <c r="E41" i="1"/>
  <c r="H40" i="1"/>
  <c r="E40" i="1"/>
  <c r="H39" i="1"/>
  <c r="E39" i="1"/>
  <c r="H38" i="1"/>
  <c r="E38" i="1"/>
  <c r="H37" i="1"/>
  <c r="E37" i="1"/>
  <c r="H36" i="1"/>
  <c r="E36" i="1"/>
  <c r="H35" i="1"/>
  <c r="E35" i="1"/>
  <c r="H34" i="1"/>
  <c r="E34" i="1"/>
  <c r="H33" i="1"/>
  <c r="E33" i="1"/>
  <c r="H32" i="1"/>
  <c r="E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4" i="1"/>
  <c r="E24" i="1"/>
  <c r="H23" i="1"/>
  <c r="E23" i="1"/>
  <c r="H22" i="1"/>
  <c r="E22" i="1"/>
  <c r="H21" i="1"/>
  <c r="E21" i="1"/>
  <c r="H20" i="1"/>
  <c r="E20" i="1"/>
  <c r="H19" i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H12" i="1"/>
  <c r="E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H4" i="1"/>
  <c r="E4" i="1"/>
  <c r="H3" i="1"/>
  <c r="E3" i="1"/>
  <c r="H2" i="1"/>
  <c r="E2" i="1"/>
  <c r="J124" i="1" l="1"/>
  <c r="I124" i="1"/>
  <c r="I26" i="1"/>
  <c r="J26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I177" i="1"/>
  <c r="J177" i="1"/>
  <c r="I176" i="1"/>
  <c r="J176" i="1"/>
  <c r="I175" i="1"/>
  <c r="J175" i="1"/>
  <c r="J174" i="1"/>
  <c r="I174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I152" i="1"/>
  <c r="J152" i="1"/>
  <c r="I151" i="1"/>
  <c r="J151" i="1"/>
  <c r="J150" i="1"/>
  <c r="I150" i="1"/>
  <c r="J149" i="1"/>
  <c r="I149" i="1"/>
  <c r="I148" i="1"/>
  <c r="J148" i="1"/>
  <c r="I147" i="1"/>
  <c r="J147" i="1"/>
  <c r="I146" i="1"/>
  <c r="J146" i="1"/>
  <c r="I145" i="1"/>
  <c r="J145" i="1"/>
  <c r="I144" i="1"/>
  <c r="J144" i="1"/>
  <c r="I143" i="1"/>
  <c r="J143" i="1"/>
  <c r="I142" i="1"/>
  <c r="J142" i="1"/>
  <c r="I141" i="1"/>
  <c r="J141" i="1"/>
  <c r="I140" i="1"/>
  <c r="J140" i="1"/>
  <c r="I139" i="1"/>
  <c r="J139" i="1"/>
  <c r="J138" i="1"/>
  <c r="I138" i="1"/>
  <c r="J137" i="1"/>
  <c r="I137" i="1"/>
  <c r="J136" i="1"/>
  <c r="I136" i="1"/>
  <c r="J135" i="1"/>
  <c r="I135" i="1"/>
  <c r="I134" i="1"/>
  <c r="J134" i="1"/>
  <c r="J133" i="1"/>
  <c r="I133" i="1"/>
  <c r="I132" i="1"/>
  <c r="J132" i="1"/>
  <c r="J131" i="1"/>
  <c r="I131" i="1"/>
  <c r="I130" i="1"/>
  <c r="J130" i="1"/>
  <c r="I129" i="1"/>
  <c r="J129" i="1"/>
  <c r="I128" i="1"/>
  <c r="J128" i="1"/>
  <c r="I127" i="1"/>
  <c r="J127" i="1"/>
  <c r="J126" i="1"/>
  <c r="I126" i="1"/>
  <c r="I125" i="1"/>
  <c r="J125" i="1"/>
  <c r="I123" i="1"/>
  <c r="J123" i="1"/>
  <c r="J122" i="1"/>
  <c r="I122" i="1"/>
  <c r="J121" i="1"/>
  <c r="I121" i="1"/>
  <c r="I120" i="1"/>
  <c r="J120" i="1"/>
  <c r="I119" i="1"/>
  <c r="J119" i="1"/>
  <c r="I118" i="1"/>
  <c r="J118" i="1"/>
  <c r="I117" i="1"/>
  <c r="J117" i="1"/>
  <c r="J116" i="1"/>
  <c r="I116" i="1"/>
  <c r="J115" i="1"/>
  <c r="I115" i="1"/>
  <c r="I114" i="1"/>
  <c r="J114" i="1"/>
  <c r="J113" i="1"/>
  <c r="I113" i="1"/>
  <c r="J112" i="1"/>
  <c r="I112" i="1"/>
  <c r="I111" i="1"/>
  <c r="J111" i="1"/>
  <c r="J110" i="1"/>
  <c r="I110" i="1"/>
  <c r="I109" i="1"/>
  <c r="J109" i="1"/>
  <c r="I108" i="1"/>
  <c r="J108" i="1"/>
  <c r="I107" i="1"/>
  <c r="J107" i="1"/>
  <c r="J106" i="1"/>
  <c r="I106" i="1"/>
  <c r="I105" i="1"/>
  <c r="J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I95" i="1"/>
  <c r="J95" i="1"/>
  <c r="J94" i="1"/>
  <c r="I94" i="1"/>
  <c r="J93" i="1"/>
  <c r="I93" i="1"/>
  <c r="J92" i="1"/>
  <c r="I92" i="1"/>
  <c r="J91" i="1"/>
  <c r="I91" i="1"/>
  <c r="I90" i="1"/>
  <c r="J90" i="1"/>
  <c r="J89" i="1"/>
  <c r="I89" i="1"/>
  <c r="J88" i="1"/>
  <c r="I88" i="1"/>
  <c r="I87" i="1"/>
  <c r="J87" i="1"/>
  <c r="J86" i="1"/>
  <c r="I86" i="1"/>
  <c r="J85" i="1"/>
  <c r="I85" i="1"/>
  <c r="J84" i="1"/>
  <c r="I84" i="1"/>
  <c r="J83" i="1"/>
  <c r="I83" i="1"/>
  <c r="J82" i="1"/>
  <c r="I82" i="1"/>
  <c r="I81" i="1"/>
  <c r="J81" i="1"/>
  <c r="I80" i="1"/>
  <c r="J80" i="1"/>
  <c r="I79" i="1"/>
  <c r="J79" i="1"/>
  <c r="I78" i="1"/>
  <c r="J78" i="1"/>
  <c r="I77" i="1"/>
  <c r="J77" i="1"/>
  <c r="I76" i="1"/>
  <c r="J76" i="1"/>
  <c r="I74" i="1"/>
  <c r="J74" i="1"/>
  <c r="J73" i="1"/>
  <c r="I73" i="1"/>
  <c r="J72" i="1"/>
  <c r="I72" i="1"/>
  <c r="J71" i="1"/>
  <c r="I71" i="1"/>
  <c r="I70" i="1"/>
  <c r="J70" i="1"/>
  <c r="I69" i="1"/>
  <c r="J69" i="1"/>
  <c r="I68" i="1"/>
  <c r="J68" i="1"/>
  <c r="I67" i="1"/>
  <c r="J67" i="1"/>
  <c r="J66" i="1"/>
  <c r="I66" i="1"/>
  <c r="I65" i="1"/>
  <c r="J65" i="1"/>
  <c r="J64" i="1"/>
  <c r="I64" i="1"/>
  <c r="J63" i="1"/>
  <c r="I63" i="1"/>
  <c r="I62" i="1"/>
  <c r="J62" i="1"/>
  <c r="I61" i="1"/>
  <c r="J61" i="1"/>
  <c r="I60" i="1"/>
  <c r="J60" i="1"/>
  <c r="I59" i="1"/>
  <c r="J59" i="1"/>
  <c r="I58" i="1"/>
  <c r="J58" i="1"/>
  <c r="J57" i="1"/>
  <c r="I57" i="1"/>
  <c r="J56" i="1"/>
  <c r="I56" i="1"/>
  <c r="J55" i="1"/>
  <c r="I55" i="1"/>
  <c r="I54" i="1"/>
  <c r="J54" i="1"/>
  <c r="J53" i="1"/>
  <c r="I53" i="1"/>
  <c r="J52" i="1"/>
  <c r="I52" i="1"/>
  <c r="I51" i="1"/>
  <c r="J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I43" i="1"/>
  <c r="J43" i="1"/>
  <c r="I42" i="1"/>
  <c r="J42" i="1"/>
  <c r="J41" i="1"/>
  <c r="I41" i="1"/>
  <c r="J40" i="1"/>
  <c r="I40" i="1"/>
  <c r="J39" i="1"/>
  <c r="I39" i="1"/>
  <c r="I38" i="1"/>
  <c r="J38" i="1"/>
  <c r="I37" i="1"/>
  <c r="J37" i="1"/>
  <c r="J36" i="1"/>
  <c r="I36" i="1"/>
  <c r="I35" i="1"/>
  <c r="J35" i="1"/>
  <c r="I34" i="1"/>
  <c r="J34" i="1"/>
  <c r="I33" i="1"/>
  <c r="J33" i="1"/>
  <c r="I32" i="1"/>
  <c r="J32" i="1"/>
  <c r="I31" i="1"/>
  <c r="J31" i="1"/>
  <c r="I30" i="1"/>
  <c r="J30" i="1"/>
  <c r="J29" i="1"/>
  <c r="I29" i="1"/>
  <c r="J28" i="1"/>
  <c r="I28" i="1"/>
  <c r="J27" i="1"/>
  <c r="I27" i="1"/>
  <c r="J25" i="1"/>
  <c r="I25" i="1"/>
  <c r="J24" i="1"/>
  <c r="I24" i="1"/>
  <c r="J23" i="1"/>
  <c r="I23" i="1"/>
  <c r="J22" i="1"/>
  <c r="I22" i="1"/>
  <c r="J21" i="1"/>
  <c r="I21" i="1"/>
  <c r="I20" i="1"/>
  <c r="J20" i="1"/>
  <c r="J19" i="1"/>
  <c r="I19" i="1"/>
  <c r="J18" i="1"/>
  <c r="I18" i="1"/>
  <c r="J17" i="1"/>
  <c r="I17" i="1"/>
  <c r="J16" i="1"/>
  <c r="I16" i="1"/>
  <c r="I15" i="1"/>
  <c r="J15" i="1"/>
  <c r="J14" i="1"/>
  <c r="I14" i="1"/>
  <c r="J13" i="1"/>
  <c r="I13" i="1"/>
  <c r="I12" i="1"/>
  <c r="J12" i="1"/>
  <c r="I11" i="1"/>
  <c r="J11" i="1"/>
  <c r="I10" i="1"/>
  <c r="J10" i="1"/>
  <c r="J9" i="1"/>
  <c r="I9" i="1"/>
  <c r="J8" i="1"/>
  <c r="I8" i="1"/>
  <c r="J7" i="1"/>
  <c r="I7" i="1"/>
  <c r="J6" i="1"/>
  <c r="I6" i="1"/>
  <c r="J5" i="1"/>
  <c r="I5" i="1"/>
  <c r="I4" i="1"/>
  <c r="J4" i="1"/>
  <c r="J3" i="1"/>
  <c r="I3" i="1"/>
  <c r="J2" i="1"/>
  <c r="I2" i="1"/>
</calcChain>
</file>

<file path=xl/sharedStrings.xml><?xml version="1.0" encoding="utf-8"?>
<sst xmlns="http://schemas.openxmlformats.org/spreadsheetml/2006/main" count="1990" uniqueCount="379">
  <si>
    <t>월</t>
  </si>
  <si>
    <t>집계기준</t>
  </si>
  <si>
    <t>금리 항목 (상위 &gt; 하위)</t>
  </si>
  <si>
    <t>중요도</t>
  </si>
  <si>
    <t>기준금리
(월말, 연 %)</t>
  </si>
  <si>
    <t>평균시장금리
(연 %)</t>
  </si>
  <si>
    <t>iM뱅크금리
(연 %)</t>
  </si>
  <si>
    <t>iM−시장
(%p)</t>
  </si>
  <si>
    <t>시장−기준
(%p)</t>
  </si>
  <si>
    <t>iM−기준
(%p)</t>
  </si>
  <si>
    <t>비교 역할</t>
  </si>
  <si>
    <t>비교 안내</t>
  </si>
  <si>
    <t>시장 항목코드</t>
  </si>
  <si>
    <t>시장 원본 파일</t>
  </si>
  <si>
    <t>시장 원본 셀</t>
  </si>
  <si>
    <t>iM 원본 파일</t>
  </si>
  <si>
    <t>iM 원본 셀</t>
  </si>
  <si>
    <t>잔액</t>
  </si>
  <si>
    <t>대출 &gt; 기업</t>
  </si>
  <si>
    <t>1 핵심</t>
  </si>
  <si>
    <t>기업대출 핵심 비교</t>
  </si>
  <si>
    <t>BECBLB0201</t>
  </si>
  <si>
    <t>ECOS각종금리데이터.xlsx</t>
  </si>
  <si>
    <t>데이터!BA20</t>
  </si>
  <si>
    <t>iM뱅크금리2025(잔액).xlsx</t>
  </si>
  <si>
    <t>Sheet1!N3</t>
  </si>
  <si>
    <t>데이터!AZ20</t>
  </si>
  <si>
    <t>Sheet1!M3</t>
  </si>
  <si>
    <t>데이터!AY20</t>
  </si>
  <si>
    <t>Sheet1!L3</t>
  </si>
  <si>
    <t>데이터!AX20</t>
  </si>
  <si>
    <t>Sheet1!K3</t>
  </si>
  <si>
    <t>데이터!AW20</t>
  </si>
  <si>
    <t>Sheet1!J3</t>
  </si>
  <si>
    <t>데이터!AV20</t>
  </si>
  <si>
    <t>Sheet1!I3</t>
  </si>
  <si>
    <t>데이터!AU20</t>
  </si>
  <si>
    <t>Sheet1!H3</t>
  </si>
  <si>
    <t>데이터!AT20</t>
  </si>
  <si>
    <t>Sheet1!G3</t>
  </si>
  <si>
    <t>데이터!AS20</t>
  </si>
  <si>
    <t>Sheet1!F3</t>
  </si>
  <si>
    <t>데이터!AR20</t>
  </si>
  <si>
    <t>Sheet1!E3</t>
  </si>
  <si>
    <t>데이터!AQ20</t>
  </si>
  <si>
    <t>Sheet1!D3</t>
  </si>
  <si>
    <t>데이터!AP20</t>
  </si>
  <si>
    <t>Sheet1!C3</t>
  </si>
  <si>
    <t>데이터!AO20</t>
  </si>
  <si>
    <t>iM뱅크금리2024(잔액).xlsx</t>
  </si>
  <si>
    <t>데이터!AN20</t>
  </si>
  <si>
    <t>데이터!AM20</t>
  </si>
  <si>
    <t>데이터!AL20</t>
  </si>
  <si>
    <t>데이터!AK20</t>
  </si>
  <si>
    <t>데이터!AJ20</t>
  </si>
  <si>
    <t>데이터!AI20</t>
  </si>
  <si>
    <t>데이터!AH20</t>
  </si>
  <si>
    <t>데이터!AG20</t>
  </si>
  <si>
    <t>데이터!AF20</t>
  </si>
  <si>
    <t>데이터!AE20</t>
  </si>
  <si>
    <t>데이터!AD20</t>
  </si>
  <si>
    <t>데이터!AC20</t>
  </si>
  <si>
    <t>iM뱅크금리2023(잔액).xlsx</t>
  </si>
  <si>
    <t>데이터!AB20</t>
  </si>
  <si>
    <t>데이터!AA20</t>
  </si>
  <si>
    <t>데이터!Z20</t>
  </si>
  <si>
    <t>데이터!Y20</t>
  </si>
  <si>
    <t>데이터!X20</t>
  </si>
  <si>
    <t>데이터!W20</t>
  </si>
  <si>
    <t>수신 &gt; 전체</t>
  </si>
  <si>
    <t>2 대표</t>
  </si>
  <si>
    <t>잔액 수신 대표</t>
  </si>
  <si>
    <t>BEABAB2</t>
  </si>
  <si>
    <t>데이터!BA13</t>
  </si>
  <si>
    <t>Sheet1!N6</t>
  </si>
  <si>
    <t>데이터!AZ13</t>
  </si>
  <si>
    <t>Sheet1!M6</t>
  </si>
  <si>
    <t>데이터!AY13</t>
  </si>
  <si>
    <t>Sheet1!L6</t>
  </si>
  <si>
    <t>데이터!AX13</t>
  </si>
  <si>
    <t>Sheet1!K6</t>
  </si>
  <si>
    <t>데이터!AW13</t>
  </si>
  <si>
    <t>Sheet1!J6</t>
  </si>
  <si>
    <t>데이터!AV13</t>
  </si>
  <si>
    <t>Sheet1!I6</t>
  </si>
  <si>
    <t>데이터!AU13</t>
  </si>
  <si>
    <t>Sheet1!H6</t>
  </si>
  <si>
    <t>데이터!AT13</t>
  </si>
  <si>
    <t>Sheet1!G6</t>
  </si>
  <si>
    <t>데이터!AS13</t>
  </si>
  <si>
    <t>Sheet1!F6</t>
  </si>
  <si>
    <t>데이터!AR13</t>
  </si>
  <si>
    <t>Sheet1!E6</t>
  </si>
  <si>
    <t>데이터!AQ13</t>
  </si>
  <si>
    <t>Sheet1!D6</t>
  </si>
  <si>
    <t>데이터!AP13</t>
  </si>
  <si>
    <t>Sheet1!C6</t>
  </si>
  <si>
    <t>데이터!AO13</t>
  </si>
  <si>
    <t>데이터!AN13</t>
  </si>
  <si>
    <t>데이터!AM13</t>
  </si>
  <si>
    <t>데이터!AL13</t>
  </si>
  <si>
    <t>데이터!AK13</t>
  </si>
  <si>
    <t>데이터!AJ13</t>
  </si>
  <si>
    <t>데이터!AI13</t>
  </si>
  <si>
    <t>데이터!AH13</t>
  </si>
  <si>
    <t>데이터!AG13</t>
  </si>
  <si>
    <t>데이터!AF13</t>
  </si>
  <si>
    <t>데이터!AE13</t>
  </si>
  <si>
    <t>데이터!AD13</t>
  </si>
  <si>
    <t>데이터!AC13</t>
  </si>
  <si>
    <t>데이터!AB13</t>
  </si>
  <si>
    <t>데이터!AA13</t>
  </si>
  <si>
    <t>데이터!Z13</t>
  </si>
  <si>
    <t>데이터!Y13</t>
  </si>
  <si>
    <t>데이터!X13</t>
  </si>
  <si>
    <t>데이터!W13</t>
  </si>
  <si>
    <t>대출 &gt; 전체</t>
  </si>
  <si>
    <t>3 보조</t>
  </si>
  <si>
    <t>추가 참고 비교</t>
  </si>
  <si>
    <t>BECBLB01</t>
  </si>
  <si>
    <t>데이터!BA19</t>
  </si>
  <si>
    <t>Sheet1!N2</t>
  </si>
  <si>
    <t>데이터!AZ19</t>
  </si>
  <si>
    <t>Sheet1!M2</t>
  </si>
  <si>
    <t>데이터!AY19</t>
  </si>
  <si>
    <t>Sheet1!L2</t>
  </si>
  <si>
    <t>데이터!AX19</t>
  </si>
  <si>
    <t>Sheet1!K2</t>
  </si>
  <si>
    <t>데이터!AW19</t>
  </si>
  <si>
    <t>Sheet1!J2</t>
  </si>
  <si>
    <t>데이터!AV19</t>
  </si>
  <si>
    <t>Sheet1!I2</t>
  </si>
  <si>
    <t>데이터!AU19</t>
  </si>
  <si>
    <t>Sheet1!H2</t>
  </si>
  <si>
    <t>데이터!AT19</t>
  </si>
  <si>
    <t>Sheet1!G2</t>
  </si>
  <si>
    <t>데이터!AS19</t>
  </si>
  <si>
    <t>Sheet1!F2</t>
  </si>
  <si>
    <t>데이터!AR19</t>
  </si>
  <si>
    <t>Sheet1!E2</t>
  </si>
  <si>
    <t>데이터!AQ19</t>
  </si>
  <si>
    <t>Sheet1!D2</t>
  </si>
  <si>
    <t>데이터!AP19</t>
  </si>
  <si>
    <t>Sheet1!C2</t>
  </si>
  <si>
    <t>데이터!AO19</t>
  </si>
  <si>
    <t>데이터!AN19</t>
  </si>
  <si>
    <t>데이터!AM19</t>
  </si>
  <si>
    <t>데이터!AL19</t>
  </si>
  <si>
    <t>데이터!AK19</t>
  </si>
  <si>
    <t>데이터!AJ19</t>
  </si>
  <si>
    <t>데이터!AI19</t>
  </si>
  <si>
    <t>데이터!AH19</t>
  </si>
  <si>
    <t>데이터!AG19</t>
  </si>
  <si>
    <t>데이터!AF19</t>
  </si>
  <si>
    <t>데이터!AE19</t>
  </si>
  <si>
    <t>데이터!AD19</t>
  </si>
  <si>
    <t>데이터!AC19</t>
  </si>
  <si>
    <t>데이터!AB19</t>
  </si>
  <si>
    <t>데이터!AA19</t>
  </si>
  <si>
    <t>데이터!Z19</t>
  </si>
  <si>
    <t>데이터!Y19</t>
  </si>
  <si>
    <t>데이터!X19</t>
  </si>
  <si>
    <t>데이터!W19</t>
  </si>
  <si>
    <t>신규취급액</t>
  </si>
  <si>
    <t>BECBLA02</t>
  </si>
  <si>
    <t>데이터!BA6</t>
  </si>
  <si>
    <t>iM뱅크금리2025(순액).xlsx</t>
  </si>
  <si>
    <t>데이터!AZ6</t>
  </si>
  <si>
    <t>데이터!AY6</t>
  </si>
  <si>
    <t>데이터!AX6</t>
  </si>
  <si>
    <t>데이터!AW6</t>
  </si>
  <si>
    <t>데이터!AV6</t>
  </si>
  <si>
    <t>데이터!AU6</t>
  </si>
  <si>
    <t>데이터!AT6</t>
  </si>
  <si>
    <t>데이터!AS6</t>
  </si>
  <si>
    <t>데이터!AR6</t>
  </si>
  <si>
    <t>데이터!AQ6</t>
  </si>
  <si>
    <t>데이터!AP6</t>
  </si>
  <si>
    <t>데이터!AO6</t>
  </si>
  <si>
    <t>iM뱅크금리2024(순액).xlsx</t>
  </si>
  <si>
    <t>데이터!AN6</t>
  </si>
  <si>
    <t>데이터!AM6</t>
  </si>
  <si>
    <t>데이터!AL6</t>
  </si>
  <si>
    <t>데이터!AK6</t>
  </si>
  <si>
    <t>데이터!AJ6</t>
  </si>
  <si>
    <t>데이터!AI6</t>
  </si>
  <si>
    <t>데이터!AH6</t>
  </si>
  <si>
    <t>데이터!AG6</t>
  </si>
  <si>
    <t>데이터!AF6</t>
  </si>
  <si>
    <t>데이터!AE6</t>
  </si>
  <si>
    <t>데이터!AD6</t>
  </si>
  <si>
    <t>데이터!AC6</t>
  </si>
  <si>
    <t>iM뱅크금리2023(순액).xlsx</t>
  </si>
  <si>
    <t>데이터!AB6</t>
  </si>
  <si>
    <t>데이터!AA6</t>
  </si>
  <si>
    <t>데이터!Z6</t>
  </si>
  <si>
    <t>데이터!Y6</t>
  </si>
  <si>
    <t>데이터!X6</t>
  </si>
  <si>
    <t>데이터!W6</t>
  </si>
  <si>
    <t>데이터!V6</t>
  </si>
  <si>
    <t>데이터!U6</t>
  </si>
  <si>
    <t>데이터!T6</t>
  </si>
  <si>
    <t>데이터!S6</t>
  </si>
  <si>
    <t>데이터!R6</t>
  </si>
  <si>
    <t>수신 &gt; 순수저축 &gt; 정기 &gt; 1년</t>
  </si>
  <si>
    <t>신규 수신 대표</t>
  </si>
  <si>
    <t>BEABAA2118</t>
  </si>
  <si>
    <t>데이터!BA4</t>
  </si>
  <si>
    <t>Sheet1!N7</t>
  </si>
  <si>
    <t>데이터!AZ4</t>
  </si>
  <si>
    <t>Sheet1!M7</t>
  </si>
  <si>
    <t>데이터!AY4</t>
  </si>
  <si>
    <t>Sheet1!L7</t>
  </si>
  <si>
    <t>데이터!AX4</t>
  </si>
  <si>
    <t>Sheet1!K7</t>
  </si>
  <si>
    <t>데이터!AW4</t>
  </si>
  <si>
    <t>Sheet1!J7</t>
  </si>
  <si>
    <t>데이터!AV4</t>
  </si>
  <si>
    <t>Sheet1!I7</t>
  </si>
  <si>
    <t>데이터!AU4</t>
  </si>
  <si>
    <t>Sheet1!H7</t>
  </si>
  <si>
    <t>데이터!AT4</t>
  </si>
  <si>
    <t>Sheet1!G7</t>
  </si>
  <si>
    <t>데이터!AS4</t>
  </si>
  <si>
    <t>Sheet1!F7</t>
  </si>
  <si>
    <t>데이터!AR4</t>
  </si>
  <si>
    <t>Sheet1!E7</t>
  </si>
  <si>
    <t>데이터!AQ4</t>
  </si>
  <si>
    <t>Sheet1!D7</t>
  </si>
  <si>
    <t>데이터!AP4</t>
  </si>
  <si>
    <t>Sheet1!C7</t>
  </si>
  <si>
    <t>데이터!AO4</t>
  </si>
  <si>
    <t>데이터!AN4</t>
  </si>
  <si>
    <t>데이터!AM4</t>
  </si>
  <si>
    <t>데이터!AL4</t>
  </si>
  <si>
    <t>데이터!AK4</t>
  </si>
  <si>
    <t>데이터!AJ4</t>
  </si>
  <si>
    <t>데이터!AI4</t>
  </si>
  <si>
    <t>데이터!AH4</t>
  </si>
  <si>
    <t>데이터!AG4</t>
  </si>
  <si>
    <t>데이터!AF4</t>
  </si>
  <si>
    <t>데이터!AE4</t>
  </si>
  <si>
    <t>데이터!AD4</t>
  </si>
  <si>
    <t>데이터!AC4</t>
  </si>
  <si>
    <t>데이터!AB4</t>
  </si>
  <si>
    <t>데이터!AA4</t>
  </si>
  <si>
    <t>데이터!Z4</t>
  </si>
  <si>
    <t>데이터!Y4</t>
  </si>
  <si>
    <t>데이터!X4</t>
  </si>
  <si>
    <t>데이터!W4</t>
  </si>
  <si>
    <t>수신 &gt; 저축성</t>
  </si>
  <si>
    <t>시장: 금융채 제외. iM 포함 범위 미기재</t>
  </si>
  <si>
    <t>BEABAA1</t>
  </si>
  <si>
    <t>데이터!BA5</t>
  </si>
  <si>
    <t>데이터!AZ5</t>
  </si>
  <si>
    <t>데이터!AY5</t>
  </si>
  <si>
    <t>데이터!AX5</t>
  </si>
  <si>
    <t>데이터!AW5</t>
  </si>
  <si>
    <t>데이터!AV5</t>
  </si>
  <si>
    <t>데이터!AU5</t>
  </si>
  <si>
    <t>데이터!AT5</t>
  </si>
  <si>
    <t>데이터!AS5</t>
  </si>
  <si>
    <t>데이터!AR5</t>
  </si>
  <si>
    <t>데이터!AQ5</t>
  </si>
  <si>
    <t>데이터!AP5</t>
  </si>
  <si>
    <t>데이터!AO5</t>
  </si>
  <si>
    <t>데이터!AN5</t>
  </si>
  <si>
    <t>데이터!AM5</t>
  </si>
  <si>
    <t>데이터!AL5</t>
  </si>
  <si>
    <t>데이터!AK5</t>
  </si>
  <si>
    <t>데이터!AJ5</t>
  </si>
  <si>
    <t>데이터!AI5</t>
  </si>
  <si>
    <t>데이터!AH5</t>
  </si>
  <si>
    <t>데이터!AG5</t>
  </si>
  <si>
    <t>데이터!AF5</t>
  </si>
  <si>
    <t>데이터!AE5</t>
  </si>
  <si>
    <t>데이터!AD5</t>
  </si>
  <si>
    <t>데이터!AC5</t>
  </si>
  <si>
    <t>데이터!AB5</t>
  </si>
  <si>
    <t>데이터!AA5</t>
  </si>
  <si>
    <t>데이터!Z5</t>
  </si>
  <si>
    <t>데이터!Y5</t>
  </si>
  <si>
    <t>데이터!X5</t>
  </si>
  <si>
    <t>데이터!W5</t>
  </si>
  <si>
    <t>데이터!V5</t>
  </si>
  <si>
    <t>데이터!U5</t>
  </si>
  <si>
    <t>데이터!T5</t>
  </si>
  <si>
    <t>데이터!S5</t>
  </si>
  <si>
    <t>데이터!R5</t>
  </si>
  <si>
    <t>출처 및 비교 기준</t>
  </si>
  <si>
    <t>통합표 범위: 2023.01~2025.12. 기준금리·시장금리·iM뱅크 금리가 모두 채워진 행만 포함.</t>
  </si>
  <si>
    <t>포함 조건: 같은 월·집계기준·금리 항목에 세 금리가 모두 숫자로 존재하는 완전 이너조인.</t>
  </si>
  <si>
    <t>평균시장금리: 제공된 ECOS 예금은행 통계값. 서로 다른 상품의 금리를 다시 평균내지 않음.</t>
  </si>
  <si>
    <t>기준금리: 제공 파일의 변경 이력에서 해당 월말까지 가장 최근 값을 적용. 월평균 금리가 아님.</t>
  </si>
  <si>
    <t>집계기준: 사용자 확인에 따라 iM 파일명의 순액을 신규취급액 기준으로 연결. 잔액은 별도 구분.</t>
  </si>
  <si>
    <t>수신 범위: 시장 저축성수신은 금융채 제외. iM 포함 범위는 원본에 없어 차이는 참고 비교.</t>
  </si>
  <si>
    <t>세 금리 중 하나라도 없으면 행을 제외했습니다. 원본 N/A나 빈칸을 채워 넣지 않았습니다.</t>
  </si>
  <si>
    <t>금리는 연 %, 계산한 차이는 %p입니다. 기존 항목 연결과 월말 기준금리 산정 방식을 유지했습니다.</t>
  </si>
  <si>
    <t>iM−시장: 양수(옅은 주황)는 iM 금리가 더 높고, 음수(옅은 파랑)는 더 낮음을 뜻합니다.</t>
  </si>
  <si>
    <t>예대금리차 원본 항목은 세 금리의 존재 조건을 충족하지 않아 통합표에서 제외했습니다.</t>
  </si>
  <si>
    <t>ECOS 주석: 최종월은 잠정치. 신규 대출은 당좌·마이너스통장 제외, 잔액 대출은 포함.</t>
  </si>
  <si>
    <t>제공 파일의 값만 사용. 원본 숫자를 외부 자료로 대체하지 않았으며 원본 파일 연결 없이 열 수 있음.</t>
  </si>
  <si>
    <t>총 196행: 잔액 93행, 신규취급액 103행. 세 금리 열의 결측값 0개.</t>
  </si>
  <si>
    <t>사용한 원본 8개</t>
  </si>
  <si>
    <t>원본 파일</t>
  </si>
  <si>
    <t>시작</t>
  </si>
  <si>
    <t>종료</t>
  </si>
  <si>
    <t>내용</t>
  </si>
  <si>
    <t>원본 위치</t>
  </si>
  <si>
    <t>2022-01</t>
  </si>
  <si>
    <t>2025-12</t>
  </si>
  <si>
    <t>예금은행 금리 23종 · 월별 1,104개</t>
  </si>
  <si>
    <t>데이터!F2:BA24</t>
  </si>
  <si>
    <t>2023-01</t>
  </si>
  <si>
    <t>2023-12</t>
  </si>
  <si>
    <t>iM뱅크 11개 항목 · 12개월</t>
  </si>
  <si>
    <t>Sheet1!C2:N12</t>
  </si>
  <si>
    <t>2024-01</t>
  </si>
  <si>
    <t>2024-12</t>
  </si>
  <si>
    <t>2025-01</t>
  </si>
  <si>
    <t>기준금리 2019~2026.xlsx</t>
  </si>
  <si>
    <t>2019-07-18</t>
  </si>
  <si>
    <t>2026-08-27</t>
  </si>
  <si>
    <t>기준금리 변경 이력 20개</t>
  </si>
  <si>
    <t>Sheet1!B2:D21</t>
  </si>
  <si>
    <t>기준금리 변경 이력</t>
  </si>
  <si>
    <t>원본의 전체 기간을 보존. 통합비교 표에서는 해당 월말에 유효한 값을 참조합니다.</t>
  </si>
  <si>
    <t>변경일</t>
  </si>
  <si>
    <t>기준금리</t>
  </si>
  <si>
    <t>단위</t>
  </si>
  <si>
    <t>원본 셀</t>
  </si>
  <si>
    <t>연 %</t>
  </si>
  <si>
    <t>D21</t>
  </si>
  <si>
    <t>D20</t>
  </si>
  <si>
    <t>D19</t>
  </si>
  <si>
    <t>D18</t>
  </si>
  <si>
    <t>D17</t>
  </si>
  <si>
    <t>D16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</si>
  <si>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</si>
  <si>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</si>
  <si>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</si>
  <si>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</si>
  <si>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</si>
  <si>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</si>
  <si>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</si>
  <si>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</si>
  <si>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</si>
  <si>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</si>
  <si>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</si>
  <si>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</si>
  <si>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</si>
  <si>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</si>
  <si>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연결한 항목</t>
  </si>
  <si>
    <t>통합 항목</t>
  </si>
  <si>
    <t>ECOS 코드</t>
  </si>
  <si>
    <t>ECOS 원본 항목</t>
  </si>
  <si>
    <t>iM 원본 항목</t>
  </si>
  <si>
    <t>기업대출</t>
  </si>
  <si>
    <t>기업대출금리</t>
  </si>
  <si>
    <t>정기예금(1년)</t>
  </si>
  <si>
    <t>정기예금 금리(1년)</t>
  </si>
  <si>
    <t>저축성수신</t>
  </si>
  <si>
    <t>저축성수신(금융채 제외)</t>
  </si>
  <si>
    <t>저축성수신금리</t>
  </si>
  <si>
    <t>총대출</t>
  </si>
  <si>
    <t>대출금리</t>
  </si>
  <si>
    <t>총수신</t>
  </si>
  <si>
    <t>총수신(요구불예금 및 수시입출식 저축성예금 포함)</t>
  </si>
  <si>
    <t>총수신금리</t>
  </si>
  <si>
    <t>정기예금 전체와 1년 만기, 가계와 기업, 신규취급액과 잔액은 각각 구분했습니다.</t>
  </si>
  <si>
    <t>iM의 은행별특수성 행은 6개 파일 모두 값이 없어 제외했습니다.</t>
  </si>
  <si>
    <t>중요도와 정렬</t>
  </si>
  <si>
    <t>1 핵심: 시장 기업대출금리 ↔ iM 기업대출금리. 잔액과 신규취급액 모두 가장 먼저 배치했습니다.</t>
  </si>
  <si>
    <t>2 대표: 신규취급액은 정기예금 1년, 잔액은 총수신을 대표 수신 비교로 사용합니다.</t>
  </si>
  <si>
    <t>3 보조: 잔액 총대출과 신규취급액 저축성수신은 추가 참고용으로 각 구간 뒤에 배치했습니다.</t>
  </si>
  <si>
    <t>정렬: 잔액 → 신규취급액 → 중요도 1·2·3 → 월 최신순. 기존 항목의 계층 표시는 유지했습니다.</t>
  </si>
  <si>
    <t>신규취급액과 잔액의 중요도는 각 구간 안에서 적용됩니다. 기업대출 비교가 두 구간의 최우선입니다.</t>
  </si>
  <si>
    <t>완전 이너조인 196행과 금리값은 유지했습니다. 기준금리·시장금리·iM금리가 모두 있는 자료입니다.</t>
  </si>
  <si>
    <t>표 머리글 1행과 A~C열만 고정했습니다. 상세 출처와 비교 안내는 표 오른쪽에서 확인할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</si>
</sst>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-mm"/>
    <numFmt numFmtId="178" formatCode="\+0.00;\-0.00;0.00"/>
  </numFmts>
  <fonts count="16">
    <font>
      <sz val="11"/>
      <name val="Carlito"/>
    </font>
    <font>
      <sz val="11"/>
      <color rgb="FF203047"/>
      <name val="Malgun Gothic"/>
      <family val="3"/>
      <charset val="129"/>
    </font>
    <font>
      <b/>
      <sz val="18"/>
      <color rgb="FF203047"/>
      <name val="Malgun Gothic"/>
      <family val="3"/>
      <charset val="129"/>
    </font>
    <font>
      <sz val="10"/>
      <color rgb="FF203047"/>
      <name val="Malgun Gothic"/>
      <family val="3"/>
      <charset val="129"/>
    </font>
    <font>
      <b/>
      <sz val="12"/>
      <color rgb="FF203047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203047"/>
      <name val="Malgun Gothic"/>
      <family val="3"/>
      <charset val="129"/>
    </font>
    <font>
      <sz val="10"/>
      <color rgb="FF203047"/>
      <name val="Malgun Gothic"/>
      <family val="3"/>
      <charset val="129"/>
    </font>
    <font>
      <b/>
      <sz val="10"/>
      <color rgb="FF203047"/>
      <name val="Malgun Gothic"/>
      <family val="3"/>
      <charset val="129"/>
    </font>
    <font>
      <b/>
      <sz val="12"/>
      <color rgb="FF263445"/>
      <name val="Malgun Gothic"/>
      <family val="3"/>
      <charset val="129"/>
    </font>
    <font>
      <sz val="10"/>
      <color rgb="FF263445"/>
      <name val="Malgun Gothic"/>
      <family val="3"/>
      <charset val="129"/>
    </font>
    <font>
      <sz val="11"/>
      <color rgb="FF203047"/>
      <name val="Malgun Gothic"/>
      <family val="3"/>
      <charset val="129"/>
    </font>
    <font>
      <sz val="10"/>
      <color rgb="FF5B6878"/>
      <name val="Malgun Gothic"/>
      <family val="3"/>
      <charset val="129"/>
    </font>
    <font>
      <b/>
      <sz val="11"/>
      <color rgb="FF243B53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FFF"/>
      </patternFill>
    </fill>
    <fill>
      <patternFill patternType="solid">
        <fgColor rgb="FF243B53"/>
      </patternFill>
    </fill>
    <fill>
      <patternFill patternType="solid">
        <fgColor rgb="FF65758B"/>
      </patternFill>
    </fill>
    <fill>
      <patternFill patternType="solid">
        <fgColor rgb="FF245B91"/>
      </patternFill>
    </fill>
    <fill>
      <patternFill patternType="solid">
        <fgColor rgb="FF007F78"/>
      </patternFill>
    </fill>
    <fill>
      <patternFill patternType="solid">
        <fgColor rgb="FFF1F4F8"/>
      </patternFill>
    </fill>
    <fill>
      <patternFill patternType="solid">
        <fgColor rgb="FFEAF2FA"/>
      </patternFill>
    </fill>
    <fill>
      <patternFill patternType="solid">
        <fgColor rgb="FFE7F5F1"/>
      </patternFill>
    </fill>
  </fills>
  <borders count="7">
    <border>
      <left/>
      <right/>
      <top/>
      <bottom/>
      <diagonal/>
    </border>
    <border>
      <left/>
      <right/>
      <top/>
      <bottom style="thin">
        <color rgb="FF9AAFC2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3C0CD"/>
      </top>
      <bottom/>
      <diagonal/>
    </border>
    <border>
      <left/>
      <right/>
      <top style="medium">
        <color rgb="FF243B53"/>
      </top>
      <bottom/>
      <diagonal/>
    </border>
  </borders>
  <cellStyleXfs count="2">
    <xf numFmtId="0" fontId="0" fillId="0" borderId="0"/>
    <xf numFmtId="0" fontId="14" fillId="0" borderId="0"/>
  </cellStyleXfs>
  <cellXfs count="71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1" xfId="1" applyFont="1" applyBorder="1"/>
    <xf numFmtId="0" fontId="3" fillId="0" borderId="0" xfId="1" applyFont="1"/>
    <xf numFmtId="0" fontId="4" fillId="0" borderId="0" xfId="1" applyFont="1"/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176" fontId="1" fillId="0" borderId="0" xfId="1" applyNumberFormat="1" applyFont="1"/>
    <xf numFmtId="10" fontId="1" fillId="0" borderId="0" xfId="1" applyNumberFormat="1" applyFont="1"/>
    <xf numFmtId="0" fontId="1" fillId="0" borderId="0" xfId="1" applyFont="1" applyAlignment="1">
      <alignment wrapText="1"/>
    </xf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177" fontId="11" fillId="3" borderId="0" xfId="1" applyNumberFormat="1" applyFont="1" applyFill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11" fillId="3" borderId="0" xfId="1" applyFont="1" applyFill="1" applyAlignment="1">
      <alignment horizontal="center" vertical="center"/>
    </xf>
    <xf numFmtId="178" fontId="11" fillId="3" borderId="0" xfId="1" applyNumberFormat="1" applyFont="1" applyFill="1" applyAlignment="1">
      <alignment horizontal="right" vertical="center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 wrapText="1"/>
    </xf>
    <xf numFmtId="177" fontId="11" fillId="8" borderId="0" xfId="1" applyNumberFormat="1" applyFont="1" applyFill="1" applyAlignment="1">
      <alignment horizontal="center" vertical="center"/>
    </xf>
    <xf numFmtId="0" fontId="11" fillId="8" borderId="0" xfId="1" applyFont="1" applyFill="1" applyAlignment="1">
      <alignment vertical="center"/>
    </xf>
    <xf numFmtId="0" fontId="11" fillId="8" borderId="0" xfId="1" applyFont="1" applyFill="1" applyAlignment="1">
      <alignment horizontal="center" vertical="center"/>
    </xf>
    <xf numFmtId="178" fontId="11" fillId="8" borderId="0" xfId="1" applyNumberFormat="1" applyFont="1" applyFill="1" applyAlignment="1">
      <alignment horizontal="right" vertical="center"/>
    </xf>
    <xf numFmtId="10" fontId="6" fillId="8" borderId="0" xfId="1" applyNumberFormat="1" applyFont="1" applyFill="1" applyAlignment="1">
      <alignment horizontal="right" vertical="center"/>
    </xf>
    <xf numFmtId="10" fontId="6" fillId="9" borderId="0" xfId="1" applyNumberFormat="1" applyFont="1" applyFill="1" applyAlignment="1">
      <alignment horizontal="right" vertical="center"/>
    </xf>
    <xf numFmtId="10" fontId="6" fillId="10" borderId="0" xfId="1" applyNumberFormat="1" applyFont="1" applyFill="1" applyAlignment="1">
      <alignment horizontal="right" vertical="center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vertical="center"/>
    </xf>
    <xf numFmtId="0" fontId="12" fillId="8" borderId="0" xfId="1" applyFont="1" applyFill="1" applyAlignment="1">
      <alignment vertical="center" wrapText="1"/>
    </xf>
    <xf numFmtId="0" fontId="12" fillId="8" borderId="0" xfId="1" applyFont="1" applyFill="1" applyAlignment="1">
      <alignment vertical="center"/>
    </xf>
    <xf numFmtId="10" fontId="6" fillId="8" borderId="6" xfId="1" applyNumberFormat="1" applyFont="1" applyFill="1" applyBorder="1" applyAlignment="1">
      <alignment horizontal="right" vertical="center"/>
    </xf>
    <xf numFmtId="10" fontId="6" fillId="9" borderId="6" xfId="1" applyNumberFormat="1" applyFont="1" applyFill="1" applyBorder="1" applyAlignment="1">
      <alignment horizontal="right" vertical="center"/>
    </xf>
    <xf numFmtId="10" fontId="6" fillId="10" borderId="6" xfId="1" applyNumberFormat="1" applyFont="1" applyFill="1" applyBorder="1" applyAlignment="1">
      <alignment horizontal="right" vertical="center"/>
    </xf>
    <xf numFmtId="178" fontId="11" fillId="3" borderId="6" xfId="1" applyNumberFormat="1" applyFont="1" applyFill="1" applyBorder="1" applyAlignment="1">
      <alignment horizontal="right" vertical="center"/>
    </xf>
    <xf numFmtId="178" fontId="11" fillId="8" borderId="6" xfId="1" applyNumberFormat="1" applyFont="1" applyFill="1" applyBorder="1" applyAlignment="1">
      <alignment horizontal="right" vertical="center"/>
    </xf>
    <xf numFmtId="0" fontId="12" fillId="8" borderId="6" xfId="1" applyFont="1" applyFill="1" applyBorder="1" applyAlignment="1">
      <alignment vertical="center" wrapText="1"/>
    </xf>
    <xf numFmtId="0" fontId="12" fillId="8" borderId="6" xfId="1" applyFont="1" applyFill="1" applyBorder="1" applyAlignment="1">
      <alignment vertical="center"/>
    </xf>
    <xf numFmtId="177" fontId="5" fillId="4" borderId="6" xfId="1" applyNumberFormat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vertical="center"/>
    </xf>
    <xf numFmtId="0" fontId="5" fillId="4" borderId="6" xfId="1" applyFont="1" applyFill="1" applyBorder="1" applyAlignment="1">
      <alignment horizontal="center" vertical="center"/>
    </xf>
    <xf numFmtId="177" fontId="11" fillId="3" borderId="5" xfId="1" applyNumberFormat="1" applyFont="1" applyFill="1" applyBorder="1" applyAlignment="1">
      <alignment horizontal="center" vertical="center"/>
    </xf>
    <xf numFmtId="10" fontId="6" fillId="8" borderId="5" xfId="1" applyNumberFormat="1" applyFont="1" applyFill="1" applyBorder="1" applyAlignment="1">
      <alignment horizontal="right" vertical="center"/>
    </xf>
    <xf numFmtId="10" fontId="6" fillId="9" borderId="5" xfId="1" applyNumberFormat="1" applyFont="1" applyFill="1" applyBorder="1" applyAlignment="1">
      <alignment horizontal="right" vertical="center"/>
    </xf>
    <xf numFmtId="10" fontId="6" fillId="10" borderId="5" xfId="1" applyNumberFormat="1" applyFont="1" applyFill="1" applyBorder="1" applyAlignment="1">
      <alignment horizontal="right" vertical="center"/>
    </xf>
    <xf numFmtId="178" fontId="11" fillId="3" borderId="5" xfId="1" applyNumberFormat="1" applyFont="1" applyFill="1" applyBorder="1" applyAlignment="1">
      <alignment horizontal="right" vertical="center"/>
    </xf>
    <xf numFmtId="0" fontId="12" fillId="3" borderId="5" xfId="1" applyFont="1" applyFill="1" applyBorder="1" applyAlignment="1">
      <alignment vertical="center" wrapText="1"/>
    </xf>
    <xf numFmtId="0" fontId="12" fillId="3" borderId="5" xfId="1" applyFont="1" applyFill="1" applyBorder="1" applyAlignment="1">
      <alignment vertical="center"/>
    </xf>
    <xf numFmtId="0" fontId="13" fillId="3" borderId="5" xfId="1" applyFont="1" applyFill="1" applyBorder="1" applyAlignment="1">
      <alignment vertical="center"/>
    </xf>
    <xf numFmtId="0" fontId="13" fillId="3" borderId="5" xfId="1" applyFont="1" applyFill="1" applyBorder="1" applyAlignment="1">
      <alignment horizontal="center" vertical="center"/>
    </xf>
    <xf numFmtId="177" fontId="11" fillId="8" borderId="5" xfId="1" applyNumberFormat="1" applyFont="1" applyFill="1" applyBorder="1" applyAlignment="1">
      <alignment horizontal="center" vertical="center"/>
    </xf>
    <xf numFmtId="178" fontId="11" fillId="8" borderId="5" xfId="1" applyNumberFormat="1" applyFont="1" applyFill="1" applyBorder="1" applyAlignment="1">
      <alignment horizontal="right" vertical="center"/>
    </xf>
    <xf numFmtId="0" fontId="12" fillId="8" borderId="5" xfId="1" applyFont="1" applyFill="1" applyBorder="1" applyAlignment="1">
      <alignment vertical="center" wrapText="1"/>
    </xf>
    <xf numFmtId="0" fontId="12" fillId="8" borderId="5" xfId="1" applyFont="1" applyFill="1" applyBorder="1" applyAlignment="1">
      <alignment vertical="center"/>
    </xf>
    <xf numFmtId="0" fontId="13" fillId="8" borderId="5" xfId="1" applyFont="1" applyFill="1" applyBorder="1" applyAlignment="1">
      <alignment vertical="center"/>
    </xf>
    <xf numFmtId="0" fontId="13" fillId="8" borderId="5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vertical="center" wrapText="1"/>
    </xf>
    <xf numFmtId="0" fontId="12" fillId="3" borderId="6" xfId="1" applyFont="1" applyFill="1" applyBorder="1" applyAlignment="1">
      <alignment vertical="center"/>
    </xf>
    <xf numFmtId="0" fontId="11" fillId="8" borderId="6" xfId="1" applyFont="1" applyFill="1" applyBorder="1" applyAlignment="1">
      <alignment horizontal="right" vertical="center"/>
    </xf>
    <xf numFmtId="0" fontId="11" fillId="3" borderId="0" xfId="1" applyFont="1" applyFill="1" applyAlignment="1">
      <alignment horizontal="right" vertical="center"/>
    </xf>
    <xf numFmtId="0" fontId="11" fillId="8" borderId="0" xfId="1" applyFont="1" applyFill="1" applyAlignment="1">
      <alignment horizontal="right" vertical="center"/>
    </xf>
    <xf numFmtId="0" fontId="11" fillId="3" borderId="5" xfId="1" applyFont="1" applyFill="1" applyBorder="1" applyAlignment="1">
      <alignment horizontal="right" vertical="center"/>
    </xf>
    <xf numFmtId="0" fontId="11" fillId="8" borderId="5" xfId="1" applyFont="1" applyFill="1" applyBorder="1" applyAlignment="1">
      <alignment horizontal="right" vertical="center"/>
    </xf>
    <xf numFmtId="0" fontId="11" fillId="3" borderId="6" xfId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2">
    <cellStyle name="Normal" xfId="1" xr:uid="{00000000-0005-0000-0000-000000000000}"/>
    <cellStyle name="표준" xfId="0" builtinId="0"/>
  </cellStyles>
  <dxfs count="6">
    <dxf>
      <alignment horizontal="right" textRotation="0" indent="0" justifyLastLine="0" shrinkToFit="0" readingOrder="0"/>
    </dxf>
    <dxf>
      <font>
        <b/>
        <color rgb="FF245B91"/>
      </font>
      <fill>
        <patternFill patternType="solid">
          <bgColor rgb="FFE6EFFC"/>
        </patternFill>
      </fill>
    </dxf>
    <dxf>
      <font>
        <b/>
        <color rgb="FF994E00"/>
      </font>
      <fill>
        <patternFill patternType="solid">
          <bgColor rgb="FFFFF0DD"/>
        </patternFill>
      </fill>
    </dxf>
    <dxf>
      <font>
        <b/>
      </font>
    </dxf>
    <dxf>
      <font>
        <b/>
        <color rgb="FF007F78"/>
      </font>
      <fill>
        <patternFill patternType="solid">
          <bgColor rgb="FFE7F5F1"/>
        </patternFill>
      </fill>
    </dxf>
    <dxf>
      <font>
        <b/>
        <color rgb="FF245B91"/>
      </font>
      <fill>
        <patternFill patternType="solid">
          <bgColor rgb="FFEDF2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tesComparison" displayName="RatesComparison" ref="A1:Q197" totalsRowShown="0">
  <autoFilter ref="A1:Q197" xr:uid="{00000000-0009-0000-0100-000001000000}"/>
  <tableColumns count="17">
    <tableColumn id="1" xr3:uid="{00000000-0010-0000-0000-000001000000}" name="월"/>
    <tableColumn id="2" xr3:uid="{00000000-0010-0000-0000-000002000000}" name="집계기준"/>
    <tableColumn id="3" xr3:uid="{00000000-0010-0000-0000-000003000000}" name="금리 항목 (상위 &gt; 하위)"/>
    <tableColumn id="4" xr3:uid="{00000000-0010-0000-0000-000004000000}" name="중요도"/>
    <tableColumn id="5" xr3:uid="{00000000-0010-0000-0000-000005000000}" name="기준금리_x000a_(월말, 연 %)"/>
    <tableColumn id="6" xr3:uid="{00000000-0010-0000-0000-000006000000}" name="평균시장금리_x000a_(연 %)"/>
    <tableColumn id="7" xr3:uid="{00000000-0010-0000-0000-000007000000}" name="iM뱅크금리_x000a_(연 %)"/>
    <tableColumn id="8" xr3:uid="{00000000-0010-0000-0000-000008000000}" name="iM−시장_x000a_(%p)"/>
    <tableColumn id="9" xr3:uid="{00000000-0010-0000-0000-000009000000}" name="시장−기준_x000a_(%p)"/>
    <tableColumn id="10" xr3:uid="{00000000-0010-0000-0000-00000A000000}" name="iM−기준_x000a_(%p)"/>
    <tableColumn id="11" xr3:uid="{00000000-0010-0000-0000-00000B000000}" name="비교 역할" dataDxfId="0"/>
    <tableColumn id="12" xr3:uid="{00000000-0010-0000-0000-00000C000000}" name="비교 안내"/>
    <tableColumn id="13" xr3:uid="{00000000-0010-0000-0000-00000D000000}" name="시장 항목코드"/>
    <tableColumn id="14" xr3:uid="{00000000-0010-0000-0000-00000E000000}" name="시장 원본 파일"/>
    <tableColumn id="15" xr3:uid="{00000000-0010-0000-0000-00000F000000}" name="시장 원본 셀"/>
    <tableColumn id="16" xr3:uid="{00000000-0010-0000-0000-000010000000}" name="iM 원본 파일"/>
    <tableColumn id="17" xr3:uid="{00000000-0010-0000-0000-000011000000}" name="iM 원본 셀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F78"/>
  </sheetPr>
  <dimension ref="A1:Q1687"/>
  <sheetViews>
    <sheetView showGridLines="0" tabSelected="1" workbookViewId="0">
      <pane xSplit="3" ySplit="1" topLeftCell="E2" activePane="bottomRight" state="frozen"/>
      <selection pane="topRight"/>
      <selection pane="bottomLeft"/>
      <selection pane="bottomRight" activeCell="A4" sqref="A4"/>
    </sheetView>
  </sheetViews>
  <sheetFormatPr defaultRowHeight="13.8"/>
  <cols>
    <col min="1" max="1" width="10.5" customWidth="1"/>
    <col min="2" max="2" width="12" customWidth="1"/>
    <col min="3" max="3" width="30.5" customWidth="1"/>
    <col min="4" max="4" width="11" hidden="1" customWidth="1"/>
    <col min="5" max="5" width="14" customWidth="1"/>
    <col min="6" max="7" width="14.69921875" customWidth="1"/>
    <col min="8" max="10" width="13.69921875" customWidth="1"/>
    <col min="11" max="11" width="21.19921875" style="70" customWidth="1"/>
    <col min="12" max="12" width="42.5" customWidth="1"/>
    <col min="13" max="13" width="18.69921875" customWidth="1"/>
    <col min="14" max="14" width="32.5" customWidth="1"/>
    <col min="15" max="15" width="15" customWidth="1"/>
    <col min="16" max="16" width="35" customWidth="1"/>
    <col min="17" max="17" width="14.3984375" customWidth="1"/>
  </cols>
  <sheetData>
    <row r="1" spans="1:17" ht="36" customHeight="1" thickBot="1">
      <c r="A1" s="20" t="s">
        <v>0</v>
      </c>
      <c r="B1" s="21" t="s">
        <v>1</v>
      </c>
      <c r="C1" s="21" t="s">
        <v>2</v>
      </c>
      <c r="D1" s="21" t="s">
        <v>3</v>
      </c>
      <c r="E1" s="23" t="s">
        <v>4</v>
      </c>
      <c r="F1" s="24" t="s">
        <v>5</v>
      </c>
      <c r="G1" s="25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2" t="s">
        <v>16</v>
      </c>
    </row>
    <row r="2" spans="1:17" ht="31.05" customHeight="1">
      <c r="A2" s="26">
        <v>45992</v>
      </c>
      <c r="B2" s="45" t="s">
        <v>17</v>
      </c>
      <c r="C2" s="27" t="s">
        <v>18</v>
      </c>
      <c r="D2" s="46" t="s">
        <v>19</v>
      </c>
      <c r="E2" s="37">
        <f>LOOKUP(EOMONTH(A2,0),'출처 및 기준'!$A$34:$A$53,'출처 및 기준'!$B$34:$B$53)</f>
        <v>2.5000000000000001E-2</v>
      </c>
      <c r="F2" s="38">
        <v>4.1799999999999997E-2</v>
      </c>
      <c r="G2" s="39">
        <v>4.3799999999999999E-2</v>
      </c>
      <c r="H2" s="40">
        <f t="shared" ref="H2:H33" si="0">IF(COUNT(F2:G2)=2,ROUND((G2-F2)*100,2),"")</f>
        <v>0.2</v>
      </c>
      <c r="I2" s="41">
        <f t="shared" ref="I2:I33" si="1">IF(COUNT(E2:F2)=2,ROUND((F2-E2)*100,2),"")</f>
        <v>1.68</v>
      </c>
      <c r="J2" s="41">
        <f t="shared" ref="J2:J33" si="2">IF(AND(ISNUMBER(E2),ISNUMBER(G2)),ROUND((G2-E2)*100,2),"")</f>
        <v>1.88</v>
      </c>
      <c r="K2" s="64" t="s">
        <v>20</v>
      </c>
      <c r="L2" s="42"/>
      <c r="M2" s="43" t="s">
        <v>21</v>
      </c>
      <c r="N2" s="43" t="s">
        <v>22</v>
      </c>
      <c r="O2" s="43" t="s">
        <v>23</v>
      </c>
      <c r="P2" s="43" t="s">
        <v>24</v>
      </c>
      <c r="Q2" s="43" t="s">
        <v>25</v>
      </c>
    </row>
    <row r="3" spans="1:17" ht="25.05" customHeight="1">
      <c r="A3" s="16">
        <v>45962</v>
      </c>
      <c r="B3" s="17" t="s">
        <v>17</v>
      </c>
      <c r="C3" s="17" t="s">
        <v>18</v>
      </c>
      <c r="D3" s="18" t="s">
        <v>19</v>
      </c>
      <c r="E3" s="30">
        <f>LOOKUP(EOMONTH(A3,0),'출처 및 기준'!$A$34:$A$53,'출처 및 기준'!$B$34:$B$53)</f>
        <v>2.5000000000000001E-2</v>
      </c>
      <c r="F3" s="31">
        <v>4.1500000000000002E-2</v>
      </c>
      <c r="G3" s="32">
        <v>4.3499999999999997E-2</v>
      </c>
      <c r="H3" s="19">
        <f t="shared" si="0"/>
        <v>0.2</v>
      </c>
      <c r="I3" s="19">
        <f t="shared" si="1"/>
        <v>1.65</v>
      </c>
      <c r="J3" s="19">
        <f t="shared" si="2"/>
        <v>1.85</v>
      </c>
      <c r="K3" s="65" t="s">
        <v>20</v>
      </c>
      <c r="L3" s="33"/>
      <c r="M3" s="34" t="s">
        <v>21</v>
      </c>
      <c r="N3" s="34" t="s">
        <v>22</v>
      </c>
      <c r="O3" s="34" t="s">
        <v>26</v>
      </c>
      <c r="P3" s="34" t="s">
        <v>24</v>
      </c>
      <c r="Q3" s="34" t="s">
        <v>27</v>
      </c>
    </row>
    <row r="4" spans="1:17" ht="25.05" customHeight="1">
      <c r="A4" s="26">
        <v>45931</v>
      </c>
      <c r="B4" s="27" t="s">
        <v>17</v>
      </c>
      <c r="C4" s="27" t="s">
        <v>18</v>
      </c>
      <c r="D4" s="28" t="s">
        <v>19</v>
      </c>
      <c r="E4" s="30">
        <f>LOOKUP(EOMONTH(A4,0),'출처 및 기준'!$A$34:$A$53,'출처 및 기준'!$B$34:$B$53)</f>
        <v>2.5000000000000001E-2</v>
      </c>
      <c r="F4" s="31">
        <v>4.1399999999999999E-2</v>
      </c>
      <c r="G4" s="32">
        <v>4.3400000000000001E-2</v>
      </c>
      <c r="H4" s="19">
        <f t="shared" si="0"/>
        <v>0.2</v>
      </c>
      <c r="I4" s="29">
        <f t="shared" si="1"/>
        <v>1.64</v>
      </c>
      <c r="J4" s="29">
        <f t="shared" si="2"/>
        <v>1.84</v>
      </c>
      <c r="K4" s="66" t="s">
        <v>20</v>
      </c>
      <c r="L4" s="35"/>
      <c r="M4" s="36" t="s">
        <v>21</v>
      </c>
      <c r="N4" s="36" t="s">
        <v>22</v>
      </c>
      <c r="O4" s="36" t="s">
        <v>28</v>
      </c>
      <c r="P4" s="36" t="s">
        <v>24</v>
      </c>
      <c r="Q4" s="36" t="s">
        <v>29</v>
      </c>
    </row>
    <row r="5" spans="1:17" ht="25.05" customHeight="1">
      <c r="A5" s="16">
        <v>45901</v>
      </c>
      <c r="B5" s="17" t="s">
        <v>17</v>
      </c>
      <c r="C5" s="17" t="s">
        <v>18</v>
      </c>
      <c r="D5" s="18" t="s">
        <v>19</v>
      </c>
      <c r="E5" s="30">
        <f>LOOKUP(EOMONTH(A5,0),'출처 및 기준'!$A$34:$A$53,'출처 및 기준'!$B$34:$B$53)</f>
        <v>2.5000000000000001E-2</v>
      </c>
      <c r="F5" s="31">
        <v>4.1599999999999998E-2</v>
      </c>
      <c r="G5" s="32">
        <v>4.3499999999999997E-2</v>
      </c>
      <c r="H5" s="19">
        <f t="shared" si="0"/>
        <v>0.19</v>
      </c>
      <c r="I5" s="19">
        <f t="shared" si="1"/>
        <v>1.66</v>
      </c>
      <c r="J5" s="19">
        <f t="shared" si="2"/>
        <v>1.85</v>
      </c>
      <c r="K5" s="65" t="s">
        <v>20</v>
      </c>
      <c r="L5" s="33"/>
      <c r="M5" s="34" t="s">
        <v>21</v>
      </c>
      <c r="N5" s="34" t="s">
        <v>22</v>
      </c>
      <c r="O5" s="34" t="s">
        <v>30</v>
      </c>
      <c r="P5" s="34" t="s">
        <v>24</v>
      </c>
      <c r="Q5" s="34" t="s">
        <v>31</v>
      </c>
    </row>
    <row r="6" spans="1:17" ht="25.05" customHeight="1">
      <c r="A6" s="26">
        <v>45870</v>
      </c>
      <c r="B6" s="27" t="s">
        <v>17</v>
      </c>
      <c r="C6" s="27" t="s">
        <v>18</v>
      </c>
      <c r="D6" s="28" t="s">
        <v>19</v>
      </c>
      <c r="E6" s="30">
        <f>LOOKUP(EOMONTH(A6,0),'출처 및 기준'!$A$34:$A$53,'출처 및 기준'!$B$34:$B$53)</f>
        <v>2.5000000000000001E-2</v>
      </c>
      <c r="F6" s="31">
        <v>4.2000000000000003E-2</v>
      </c>
      <c r="G6" s="32">
        <v>4.41E-2</v>
      </c>
      <c r="H6" s="19">
        <f t="shared" si="0"/>
        <v>0.21</v>
      </c>
      <c r="I6" s="29">
        <f t="shared" si="1"/>
        <v>1.7</v>
      </c>
      <c r="J6" s="29">
        <f t="shared" si="2"/>
        <v>1.91</v>
      </c>
      <c r="K6" s="66" t="s">
        <v>20</v>
      </c>
      <c r="L6" s="35"/>
      <c r="M6" s="36" t="s">
        <v>21</v>
      </c>
      <c r="N6" s="36" t="s">
        <v>22</v>
      </c>
      <c r="O6" s="36" t="s">
        <v>32</v>
      </c>
      <c r="P6" s="36" t="s">
        <v>24</v>
      </c>
      <c r="Q6" s="36" t="s">
        <v>33</v>
      </c>
    </row>
    <row r="7" spans="1:17" ht="25.05" customHeight="1">
      <c r="A7" s="16">
        <v>45839</v>
      </c>
      <c r="B7" s="17" t="s">
        <v>17</v>
      </c>
      <c r="C7" s="17" t="s">
        <v>18</v>
      </c>
      <c r="D7" s="18" t="s">
        <v>19</v>
      </c>
      <c r="E7" s="30">
        <f>LOOKUP(EOMONTH(A7,0),'출처 및 기준'!$A$34:$A$53,'출처 및 기준'!$B$34:$B$53)</f>
        <v>2.5000000000000001E-2</v>
      </c>
      <c r="F7" s="31">
        <v>4.2500000000000003E-2</v>
      </c>
      <c r="G7" s="32">
        <v>4.4500000000000005E-2</v>
      </c>
      <c r="H7" s="19">
        <f t="shared" si="0"/>
        <v>0.2</v>
      </c>
      <c r="I7" s="19">
        <f t="shared" si="1"/>
        <v>1.75</v>
      </c>
      <c r="J7" s="19">
        <f t="shared" si="2"/>
        <v>1.95</v>
      </c>
      <c r="K7" s="65" t="s">
        <v>20</v>
      </c>
      <c r="L7" s="33"/>
      <c r="M7" s="34" t="s">
        <v>21</v>
      </c>
      <c r="N7" s="34" t="s">
        <v>22</v>
      </c>
      <c r="O7" s="34" t="s">
        <v>34</v>
      </c>
      <c r="P7" s="34" t="s">
        <v>24</v>
      </c>
      <c r="Q7" s="34" t="s">
        <v>35</v>
      </c>
    </row>
    <row r="8" spans="1:17" ht="25.05" customHeight="1">
      <c r="A8" s="26">
        <v>45809</v>
      </c>
      <c r="B8" s="27" t="s">
        <v>17</v>
      </c>
      <c r="C8" s="27" t="s">
        <v>18</v>
      </c>
      <c r="D8" s="28" t="s">
        <v>19</v>
      </c>
      <c r="E8" s="30">
        <f>LOOKUP(EOMONTH(A8,0),'출처 및 기준'!$A$34:$A$53,'출처 및 기준'!$B$34:$B$53)</f>
        <v>2.5000000000000001E-2</v>
      </c>
      <c r="F8" s="31">
        <v>4.2999999999999997E-2</v>
      </c>
      <c r="G8" s="32">
        <v>4.5100000000000001E-2</v>
      </c>
      <c r="H8" s="19">
        <f t="shared" si="0"/>
        <v>0.21</v>
      </c>
      <c r="I8" s="29">
        <f t="shared" si="1"/>
        <v>1.8</v>
      </c>
      <c r="J8" s="29">
        <f t="shared" si="2"/>
        <v>2.0099999999999998</v>
      </c>
      <c r="K8" s="66" t="s">
        <v>20</v>
      </c>
      <c r="L8" s="35"/>
      <c r="M8" s="36" t="s">
        <v>21</v>
      </c>
      <c r="N8" s="36" t="s">
        <v>22</v>
      </c>
      <c r="O8" s="36" t="s">
        <v>36</v>
      </c>
      <c r="P8" s="36" t="s">
        <v>24</v>
      </c>
      <c r="Q8" s="36" t="s">
        <v>37</v>
      </c>
    </row>
    <row r="9" spans="1:17" ht="25.05" customHeight="1">
      <c r="A9" s="16">
        <v>45778</v>
      </c>
      <c r="B9" s="17" t="s">
        <v>17</v>
      </c>
      <c r="C9" s="17" t="s">
        <v>18</v>
      </c>
      <c r="D9" s="18" t="s">
        <v>19</v>
      </c>
      <c r="E9" s="30">
        <f>LOOKUP(EOMONTH(A9,0),'출처 및 기준'!$A$34:$A$53,'출처 및 기준'!$B$34:$B$53)</f>
        <v>2.5000000000000001E-2</v>
      </c>
      <c r="F9" s="31">
        <v>4.3799999999999999E-2</v>
      </c>
      <c r="G9" s="32">
        <v>4.6300000000000001E-2</v>
      </c>
      <c r="H9" s="19">
        <f t="shared" si="0"/>
        <v>0.25</v>
      </c>
      <c r="I9" s="19">
        <f t="shared" si="1"/>
        <v>1.88</v>
      </c>
      <c r="J9" s="19">
        <f t="shared" si="2"/>
        <v>2.13</v>
      </c>
      <c r="K9" s="65" t="s">
        <v>20</v>
      </c>
      <c r="L9" s="33"/>
      <c r="M9" s="34" t="s">
        <v>21</v>
      </c>
      <c r="N9" s="34" t="s">
        <v>22</v>
      </c>
      <c r="O9" s="34" t="s">
        <v>38</v>
      </c>
      <c r="P9" s="34" t="s">
        <v>24</v>
      </c>
      <c r="Q9" s="34" t="s">
        <v>39</v>
      </c>
    </row>
    <row r="10" spans="1:17" ht="25.05" customHeight="1">
      <c r="A10" s="26">
        <v>45748</v>
      </c>
      <c r="B10" s="27" t="s">
        <v>17</v>
      </c>
      <c r="C10" s="27" t="s">
        <v>18</v>
      </c>
      <c r="D10" s="28" t="s">
        <v>19</v>
      </c>
      <c r="E10" s="30">
        <f>LOOKUP(EOMONTH(A10,0),'출처 및 기준'!$A$34:$A$53,'출처 및 기준'!$B$34:$B$53)</f>
        <v>2.75E-2</v>
      </c>
      <c r="F10" s="31">
        <v>4.4600000000000001E-2</v>
      </c>
      <c r="G10" s="32">
        <v>4.7100000000000003E-2</v>
      </c>
      <c r="H10" s="19">
        <f t="shared" si="0"/>
        <v>0.25</v>
      </c>
      <c r="I10" s="29">
        <f t="shared" si="1"/>
        <v>1.71</v>
      </c>
      <c r="J10" s="29">
        <f t="shared" si="2"/>
        <v>1.96</v>
      </c>
      <c r="K10" s="66" t="s">
        <v>20</v>
      </c>
      <c r="L10" s="35"/>
      <c r="M10" s="36" t="s">
        <v>21</v>
      </c>
      <c r="N10" s="36" t="s">
        <v>22</v>
      </c>
      <c r="O10" s="36" t="s">
        <v>40</v>
      </c>
      <c r="P10" s="36" t="s">
        <v>24</v>
      </c>
      <c r="Q10" s="36" t="s">
        <v>41</v>
      </c>
    </row>
    <row r="11" spans="1:17" ht="25.05" customHeight="1">
      <c r="A11" s="16">
        <v>45717</v>
      </c>
      <c r="B11" s="17" t="s">
        <v>17</v>
      </c>
      <c r="C11" s="17" t="s">
        <v>18</v>
      </c>
      <c r="D11" s="18" t="s">
        <v>19</v>
      </c>
      <c r="E11" s="30">
        <f>LOOKUP(EOMONTH(A11,0),'출처 및 기준'!$A$34:$A$53,'출처 및 기준'!$B$34:$B$53)</f>
        <v>2.75E-2</v>
      </c>
      <c r="F11" s="31">
        <v>4.5400000000000003E-2</v>
      </c>
      <c r="G11" s="32">
        <v>4.7899999999999998E-2</v>
      </c>
      <c r="H11" s="19">
        <f t="shared" si="0"/>
        <v>0.25</v>
      </c>
      <c r="I11" s="19">
        <f t="shared" si="1"/>
        <v>1.79</v>
      </c>
      <c r="J11" s="19">
        <f t="shared" si="2"/>
        <v>2.04</v>
      </c>
      <c r="K11" s="65" t="s">
        <v>20</v>
      </c>
      <c r="L11" s="33"/>
      <c r="M11" s="34" t="s">
        <v>21</v>
      </c>
      <c r="N11" s="34" t="s">
        <v>22</v>
      </c>
      <c r="O11" s="34" t="s">
        <v>42</v>
      </c>
      <c r="P11" s="34" t="s">
        <v>24</v>
      </c>
      <c r="Q11" s="34" t="s">
        <v>43</v>
      </c>
    </row>
    <row r="12" spans="1:17" ht="25.05" customHeight="1">
      <c r="A12" s="26">
        <v>45689</v>
      </c>
      <c r="B12" s="27" t="s">
        <v>17</v>
      </c>
      <c r="C12" s="27" t="s">
        <v>18</v>
      </c>
      <c r="D12" s="28" t="s">
        <v>19</v>
      </c>
      <c r="E12" s="30">
        <f>LOOKUP(EOMONTH(A12,0),'출처 및 기준'!$A$34:$A$53,'출처 및 기준'!$B$34:$B$53)</f>
        <v>2.75E-2</v>
      </c>
      <c r="F12" s="31">
        <v>4.6399999999999997E-2</v>
      </c>
      <c r="G12" s="32">
        <v>4.8899999999999999E-2</v>
      </c>
      <c r="H12" s="19">
        <f t="shared" si="0"/>
        <v>0.25</v>
      </c>
      <c r="I12" s="29">
        <f t="shared" si="1"/>
        <v>1.89</v>
      </c>
      <c r="J12" s="29">
        <f t="shared" si="2"/>
        <v>2.14</v>
      </c>
      <c r="K12" s="66" t="s">
        <v>20</v>
      </c>
      <c r="L12" s="35"/>
      <c r="M12" s="36" t="s">
        <v>21</v>
      </c>
      <c r="N12" s="36" t="s">
        <v>22</v>
      </c>
      <c r="O12" s="36" t="s">
        <v>44</v>
      </c>
      <c r="P12" s="36" t="s">
        <v>24</v>
      </c>
      <c r="Q12" s="36" t="s">
        <v>45</v>
      </c>
    </row>
    <row r="13" spans="1:17" ht="25.05" customHeight="1">
      <c r="A13" s="16">
        <v>45658</v>
      </c>
      <c r="B13" s="17" t="s">
        <v>17</v>
      </c>
      <c r="C13" s="17" t="s">
        <v>18</v>
      </c>
      <c r="D13" s="18" t="s">
        <v>19</v>
      </c>
      <c r="E13" s="30">
        <f>LOOKUP(EOMONTH(A13,0),'출처 및 기준'!$A$34:$A$53,'출처 및 기준'!$B$34:$B$53)</f>
        <v>0.03</v>
      </c>
      <c r="F13" s="31">
        <v>4.7199999999999999E-2</v>
      </c>
      <c r="G13" s="32">
        <v>4.9400000000000006E-2</v>
      </c>
      <c r="H13" s="19">
        <f t="shared" si="0"/>
        <v>0.22</v>
      </c>
      <c r="I13" s="19">
        <f t="shared" si="1"/>
        <v>1.72</v>
      </c>
      <c r="J13" s="19">
        <f t="shared" si="2"/>
        <v>1.94</v>
      </c>
      <c r="K13" s="65" t="s">
        <v>20</v>
      </c>
      <c r="L13" s="33"/>
      <c r="M13" s="34" t="s">
        <v>21</v>
      </c>
      <c r="N13" s="34" t="s">
        <v>22</v>
      </c>
      <c r="O13" s="34" t="s">
        <v>46</v>
      </c>
      <c r="P13" s="34" t="s">
        <v>24</v>
      </c>
      <c r="Q13" s="34" t="s">
        <v>47</v>
      </c>
    </row>
    <row r="14" spans="1:17" ht="25.05" customHeight="1">
      <c r="A14" s="26">
        <v>45627</v>
      </c>
      <c r="B14" s="27" t="s">
        <v>17</v>
      </c>
      <c r="C14" s="27" t="s">
        <v>18</v>
      </c>
      <c r="D14" s="28" t="s">
        <v>19</v>
      </c>
      <c r="E14" s="30">
        <f>LOOKUP(EOMONTH(A14,0),'출처 및 기준'!$A$34:$A$53,'출처 및 기준'!$B$34:$B$53)</f>
        <v>0.03</v>
      </c>
      <c r="F14" s="31">
        <v>4.7800000000000002E-2</v>
      </c>
      <c r="G14" s="32">
        <v>5.0099999999999999E-2</v>
      </c>
      <c r="H14" s="19">
        <f t="shared" si="0"/>
        <v>0.23</v>
      </c>
      <c r="I14" s="29">
        <f t="shared" si="1"/>
        <v>1.78</v>
      </c>
      <c r="J14" s="29">
        <f t="shared" si="2"/>
        <v>2.0099999999999998</v>
      </c>
      <c r="K14" s="66" t="s">
        <v>20</v>
      </c>
      <c r="L14" s="35"/>
      <c r="M14" s="36" t="s">
        <v>21</v>
      </c>
      <c r="N14" s="36" t="s">
        <v>22</v>
      </c>
      <c r="O14" s="36" t="s">
        <v>48</v>
      </c>
      <c r="P14" s="36" t="s">
        <v>49</v>
      </c>
      <c r="Q14" s="36" t="s">
        <v>25</v>
      </c>
    </row>
    <row r="15" spans="1:17" ht="25.05" customHeight="1">
      <c r="A15" s="16">
        <v>45597</v>
      </c>
      <c r="B15" s="17" t="s">
        <v>17</v>
      </c>
      <c r="C15" s="17" t="s">
        <v>18</v>
      </c>
      <c r="D15" s="18" t="s">
        <v>19</v>
      </c>
      <c r="E15" s="30">
        <f>LOOKUP(EOMONTH(A15,0),'출처 및 기준'!$A$34:$A$53,'출처 및 기준'!$B$34:$B$53)</f>
        <v>0.03</v>
      </c>
      <c r="F15" s="31">
        <v>4.82E-2</v>
      </c>
      <c r="G15" s="32">
        <v>5.0799999999999998E-2</v>
      </c>
      <c r="H15" s="19">
        <f t="shared" si="0"/>
        <v>0.26</v>
      </c>
      <c r="I15" s="19">
        <f t="shared" si="1"/>
        <v>1.82</v>
      </c>
      <c r="J15" s="19">
        <f t="shared" si="2"/>
        <v>2.08</v>
      </c>
      <c r="K15" s="65" t="s">
        <v>20</v>
      </c>
      <c r="L15" s="33"/>
      <c r="M15" s="34" t="s">
        <v>21</v>
      </c>
      <c r="N15" s="34" t="s">
        <v>22</v>
      </c>
      <c r="O15" s="34" t="s">
        <v>50</v>
      </c>
      <c r="P15" s="34" t="s">
        <v>49</v>
      </c>
      <c r="Q15" s="34" t="s">
        <v>27</v>
      </c>
    </row>
    <row r="16" spans="1:17" ht="25.05" customHeight="1">
      <c r="A16" s="26">
        <v>45566</v>
      </c>
      <c r="B16" s="27" t="s">
        <v>17</v>
      </c>
      <c r="C16" s="27" t="s">
        <v>18</v>
      </c>
      <c r="D16" s="28" t="s">
        <v>19</v>
      </c>
      <c r="E16" s="30">
        <f>LOOKUP(EOMONTH(A16,0),'출처 및 기준'!$A$34:$A$53,'출처 및 기준'!$B$34:$B$53)</f>
        <v>3.2500000000000001E-2</v>
      </c>
      <c r="F16" s="31">
        <v>4.8499999999999995E-2</v>
      </c>
      <c r="G16" s="32">
        <v>5.1200000000000002E-2</v>
      </c>
      <c r="H16" s="19">
        <f t="shared" si="0"/>
        <v>0.27</v>
      </c>
      <c r="I16" s="29">
        <f t="shared" si="1"/>
        <v>1.6</v>
      </c>
      <c r="J16" s="29">
        <f t="shared" si="2"/>
        <v>1.87</v>
      </c>
      <c r="K16" s="66" t="s">
        <v>20</v>
      </c>
      <c r="L16" s="35"/>
      <c r="M16" s="36" t="s">
        <v>21</v>
      </c>
      <c r="N16" s="36" t="s">
        <v>22</v>
      </c>
      <c r="O16" s="36" t="s">
        <v>51</v>
      </c>
      <c r="P16" s="36" t="s">
        <v>49</v>
      </c>
      <c r="Q16" s="36" t="s">
        <v>29</v>
      </c>
    </row>
    <row r="17" spans="1:17" ht="25.05" customHeight="1">
      <c r="A17" s="16">
        <v>45536</v>
      </c>
      <c r="B17" s="17" t="s">
        <v>17</v>
      </c>
      <c r="C17" s="17" t="s">
        <v>18</v>
      </c>
      <c r="D17" s="18" t="s">
        <v>19</v>
      </c>
      <c r="E17" s="30">
        <f>LOOKUP(EOMONTH(A17,0),'출처 및 기준'!$A$34:$A$53,'출처 및 기준'!$B$34:$B$53)</f>
        <v>3.5000000000000003E-2</v>
      </c>
      <c r="F17" s="31">
        <v>4.8899999999999999E-2</v>
      </c>
      <c r="G17" s="32">
        <v>5.1799999999999999E-2</v>
      </c>
      <c r="H17" s="19">
        <f t="shared" si="0"/>
        <v>0.28999999999999998</v>
      </c>
      <c r="I17" s="19">
        <f t="shared" si="1"/>
        <v>1.39</v>
      </c>
      <c r="J17" s="19">
        <f t="shared" si="2"/>
        <v>1.68</v>
      </c>
      <c r="K17" s="65" t="s">
        <v>20</v>
      </c>
      <c r="L17" s="33"/>
      <c r="M17" s="34" t="s">
        <v>21</v>
      </c>
      <c r="N17" s="34" t="s">
        <v>22</v>
      </c>
      <c r="O17" s="34" t="s">
        <v>52</v>
      </c>
      <c r="P17" s="34" t="s">
        <v>49</v>
      </c>
      <c r="Q17" s="34" t="s">
        <v>31</v>
      </c>
    </row>
    <row r="18" spans="1:17" ht="25.05" customHeight="1">
      <c r="A18" s="26">
        <v>45505</v>
      </c>
      <c r="B18" s="27" t="s">
        <v>17</v>
      </c>
      <c r="C18" s="27" t="s">
        <v>18</v>
      </c>
      <c r="D18" s="28" t="s">
        <v>19</v>
      </c>
      <c r="E18" s="30">
        <f>LOOKUP(EOMONTH(A18,0),'출처 및 기준'!$A$34:$A$53,'출처 및 기준'!$B$34:$B$53)</f>
        <v>3.5000000000000003E-2</v>
      </c>
      <c r="F18" s="31">
        <v>4.9400000000000006E-2</v>
      </c>
      <c r="G18" s="32">
        <v>5.2400000000000002E-2</v>
      </c>
      <c r="H18" s="19">
        <f t="shared" si="0"/>
        <v>0.3</v>
      </c>
      <c r="I18" s="29">
        <f t="shared" si="1"/>
        <v>1.44</v>
      </c>
      <c r="J18" s="29">
        <f t="shared" si="2"/>
        <v>1.74</v>
      </c>
      <c r="K18" s="66" t="s">
        <v>20</v>
      </c>
      <c r="L18" s="35"/>
      <c r="M18" s="36" t="s">
        <v>21</v>
      </c>
      <c r="N18" s="36" t="s">
        <v>22</v>
      </c>
      <c r="O18" s="36" t="s">
        <v>53</v>
      </c>
      <c r="P18" s="36" t="s">
        <v>49</v>
      </c>
      <c r="Q18" s="36" t="s">
        <v>33</v>
      </c>
    </row>
    <row r="19" spans="1:17" ht="25.05" customHeight="1">
      <c r="A19" s="16">
        <v>45474</v>
      </c>
      <c r="B19" s="17" t="s">
        <v>17</v>
      </c>
      <c r="C19" s="17" t="s">
        <v>18</v>
      </c>
      <c r="D19" s="18" t="s">
        <v>19</v>
      </c>
      <c r="E19" s="30">
        <f>LOOKUP(EOMONTH(A19,0),'출처 및 기준'!$A$34:$A$53,'출처 및 기준'!$B$34:$B$53)</f>
        <v>3.5000000000000003E-2</v>
      </c>
      <c r="F19" s="31">
        <v>4.99E-2</v>
      </c>
      <c r="G19" s="32">
        <v>5.28E-2</v>
      </c>
      <c r="H19" s="19">
        <f t="shared" si="0"/>
        <v>0.28999999999999998</v>
      </c>
      <c r="I19" s="19">
        <f t="shared" si="1"/>
        <v>1.49</v>
      </c>
      <c r="J19" s="19">
        <f t="shared" si="2"/>
        <v>1.78</v>
      </c>
      <c r="K19" s="65" t="s">
        <v>20</v>
      </c>
      <c r="L19" s="33"/>
      <c r="M19" s="34" t="s">
        <v>21</v>
      </c>
      <c r="N19" s="34" t="s">
        <v>22</v>
      </c>
      <c r="O19" s="34" t="s">
        <v>54</v>
      </c>
      <c r="P19" s="34" t="s">
        <v>49</v>
      </c>
      <c r="Q19" s="34" t="s">
        <v>35</v>
      </c>
    </row>
    <row r="20" spans="1:17" ht="25.05" customHeight="1">
      <c r="A20" s="26">
        <v>45444</v>
      </c>
      <c r="B20" s="27" t="s">
        <v>17</v>
      </c>
      <c r="C20" s="27" t="s">
        <v>18</v>
      </c>
      <c r="D20" s="28" t="s">
        <v>19</v>
      </c>
      <c r="E20" s="30">
        <f>LOOKUP(EOMONTH(A20,0),'출처 및 기준'!$A$34:$A$53,'출처 및 기준'!$B$34:$B$53)</f>
        <v>3.5000000000000003E-2</v>
      </c>
      <c r="F20" s="31">
        <v>5.0300000000000004E-2</v>
      </c>
      <c r="G20" s="32">
        <v>5.3200000000000004E-2</v>
      </c>
      <c r="H20" s="19">
        <f t="shared" si="0"/>
        <v>0.28999999999999998</v>
      </c>
      <c r="I20" s="29">
        <f t="shared" si="1"/>
        <v>1.53</v>
      </c>
      <c r="J20" s="29">
        <f t="shared" si="2"/>
        <v>1.82</v>
      </c>
      <c r="K20" s="66" t="s">
        <v>20</v>
      </c>
      <c r="L20" s="35"/>
      <c r="M20" s="36" t="s">
        <v>21</v>
      </c>
      <c r="N20" s="36" t="s">
        <v>22</v>
      </c>
      <c r="O20" s="36" t="s">
        <v>55</v>
      </c>
      <c r="P20" s="36" t="s">
        <v>49</v>
      </c>
      <c r="Q20" s="36" t="s">
        <v>37</v>
      </c>
    </row>
    <row r="21" spans="1:17" ht="25.05" customHeight="1">
      <c r="A21" s="16">
        <v>45413</v>
      </c>
      <c r="B21" s="17" t="s">
        <v>17</v>
      </c>
      <c r="C21" s="17" t="s">
        <v>18</v>
      </c>
      <c r="D21" s="18" t="s">
        <v>19</v>
      </c>
      <c r="E21" s="30">
        <f>LOOKUP(EOMONTH(A21,0),'출처 및 기준'!$A$34:$A$53,'출처 및 기준'!$B$34:$B$53)</f>
        <v>3.5000000000000003E-2</v>
      </c>
      <c r="F21" s="31">
        <v>5.0799999999999998E-2</v>
      </c>
      <c r="G21" s="32">
        <v>5.3800000000000001E-2</v>
      </c>
      <c r="H21" s="19">
        <f t="shared" si="0"/>
        <v>0.3</v>
      </c>
      <c r="I21" s="19">
        <f t="shared" si="1"/>
        <v>1.58</v>
      </c>
      <c r="J21" s="19">
        <f t="shared" si="2"/>
        <v>1.88</v>
      </c>
      <c r="K21" s="65" t="s">
        <v>20</v>
      </c>
      <c r="L21" s="33"/>
      <c r="M21" s="34" t="s">
        <v>21</v>
      </c>
      <c r="N21" s="34" t="s">
        <v>22</v>
      </c>
      <c r="O21" s="34" t="s">
        <v>56</v>
      </c>
      <c r="P21" s="34" t="s">
        <v>49</v>
      </c>
      <c r="Q21" s="34" t="s">
        <v>39</v>
      </c>
    </row>
    <row r="22" spans="1:17" ht="25.05" customHeight="1">
      <c r="A22" s="26">
        <v>45383</v>
      </c>
      <c r="B22" s="27" t="s">
        <v>17</v>
      </c>
      <c r="C22" s="27" t="s">
        <v>18</v>
      </c>
      <c r="D22" s="28" t="s">
        <v>19</v>
      </c>
      <c r="E22" s="30">
        <f>LOOKUP(EOMONTH(A22,0),'출처 및 기준'!$A$34:$A$53,'출처 및 기준'!$B$34:$B$53)</f>
        <v>3.5000000000000003E-2</v>
      </c>
      <c r="F22" s="31">
        <v>5.1299999999999998E-2</v>
      </c>
      <c r="G22" s="32">
        <v>5.4299999999999994E-2</v>
      </c>
      <c r="H22" s="19">
        <f t="shared" si="0"/>
        <v>0.3</v>
      </c>
      <c r="I22" s="29">
        <f t="shared" si="1"/>
        <v>1.63</v>
      </c>
      <c r="J22" s="29">
        <f t="shared" si="2"/>
        <v>1.93</v>
      </c>
      <c r="K22" s="66" t="s">
        <v>20</v>
      </c>
      <c r="L22" s="35"/>
      <c r="M22" s="36" t="s">
        <v>21</v>
      </c>
      <c r="N22" s="36" t="s">
        <v>22</v>
      </c>
      <c r="O22" s="36" t="s">
        <v>57</v>
      </c>
      <c r="P22" s="36" t="s">
        <v>49</v>
      </c>
      <c r="Q22" s="36" t="s">
        <v>41</v>
      </c>
    </row>
    <row r="23" spans="1:17" ht="25.05" customHeight="1">
      <c r="A23" s="16">
        <v>45352</v>
      </c>
      <c r="B23" s="17" t="s">
        <v>17</v>
      </c>
      <c r="C23" s="17" t="s">
        <v>18</v>
      </c>
      <c r="D23" s="18" t="s">
        <v>19</v>
      </c>
      <c r="E23" s="30">
        <f>LOOKUP(EOMONTH(A23,0),'출처 및 기준'!$A$34:$A$53,'출처 및 기준'!$B$34:$B$53)</f>
        <v>3.5000000000000003E-2</v>
      </c>
      <c r="F23" s="31">
        <v>5.1799999999999999E-2</v>
      </c>
      <c r="G23" s="32">
        <v>5.5199999999999999E-2</v>
      </c>
      <c r="H23" s="19">
        <f t="shared" si="0"/>
        <v>0.34</v>
      </c>
      <c r="I23" s="19">
        <f t="shared" si="1"/>
        <v>1.68</v>
      </c>
      <c r="J23" s="19">
        <f t="shared" si="2"/>
        <v>2.02</v>
      </c>
      <c r="K23" s="65" t="s">
        <v>20</v>
      </c>
      <c r="L23" s="33"/>
      <c r="M23" s="34" t="s">
        <v>21</v>
      </c>
      <c r="N23" s="34" t="s">
        <v>22</v>
      </c>
      <c r="O23" s="34" t="s">
        <v>58</v>
      </c>
      <c r="P23" s="34" t="s">
        <v>49</v>
      </c>
      <c r="Q23" s="34" t="s">
        <v>43</v>
      </c>
    </row>
    <row r="24" spans="1:17" ht="25.05" customHeight="1">
      <c r="A24" s="26">
        <v>45323</v>
      </c>
      <c r="B24" s="27" t="s">
        <v>17</v>
      </c>
      <c r="C24" s="27" t="s">
        <v>18</v>
      </c>
      <c r="D24" s="28" t="s">
        <v>19</v>
      </c>
      <c r="E24" s="30">
        <f>LOOKUP(EOMONTH(A24,0),'출처 및 기준'!$A$34:$A$53,'출처 및 기준'!$B$34:$B$53)</f>
        <v>3.5000000000000003E-2</v>
      </c>
      <c r="F24" s="31">
        <v>5.2400000000000002E-2</v>
      </c>
      <c r="G24" s="32">
        <v>5.5800000000000002E-2</v>
      </c>
      <c r="H24" s="19">
        <f t="shared" si="0"/>
        <v>0.34</v>
      </c>
      <c r="I24" s="29">
        <f t="shared" si="1"/>
        <v>1.74</v>
      </c>
      <c r="J24" s="29">
        <f t="shared" si="2"/>
        <v>2.08</v>
      </c>
      <c r="K24" s="66" t="s">
        <v>20</v>
      </c>
      <c r="L24" s="35"/>
      <c r="M24" s="36" t="s">
        <v>21</v>
      </c>
      <c r="N24" s="36" t="s">
        <v>22</v>
      </c>
      <c r="O24" s="36" t="s">
        <v>59</v>
      </c>
      <c r="P24" s="36" t="s">
        <v>49</v>
      </c>
      <c r="Q24" s="36" t="s">
        <v>45</v>
      </c>
    </row>
    <row r="25" spans="1:17" ht="25.05" customHeight="1">
      <c r="A25" s="16">
        <v>45292</v>
      </c>
      <c r="B25" s="17" t="s">
        <v>17</v>
      </c>
      <c r="C25" s="17" t="s">
        <v>18</v>
      </c>
      <c r="D25" s="18" t="s">
        <v>19</v>
      </c>
      <c r="E25" s="30">
        <f>LOOKUP(EOMONTH(A25,0),'출처 및 기준'!$A$34:$A$53,'출처 및 기준'!$B$34:$B$53)</f>
        <v>3.5000000000000003E-2</v>
      </c>
      <c r="F25" s="31">
        <v>5.2900000000000003E-2</v>
      </c>
      <c r="G25" s="32">
        <v>5.62E-2</v>
      </c>
      <c r="H25" s="19">
        <f t="shared" si="0"/>
        <v>0.33</v>
      </c>
      <c r="I25" s="19">
        <f t="shared" si="1"/>
        <v>1.79</v>
      </c>
      <c r="J25" s="19">
        <f t="shared" si="2"/>
        <v>2.12</v>
      </c>
      <c r="K25" s="65" t="s">
        <v>20</v>
      </c>
      <c r="L25" s="33"/>
      <c r="M25" s="34" t="s">
        <v>21</v>
      </c>
      <c r="N25" s="34" t="s">
        <v>22</v>
      </c>
      <c r="O25" s="34" t="s">
        <v>60</v>
      </c>
      <c r="P25" s="34" t="s">
        <v>49</v>
      </c>
      <c r="Q25" s="34" t="s">
        <v>47</v>
      </c>
    </row>
    <row r="26" spans="1:17" ht="25.05" customHeight="1">
      <c r="A26" s="26">
        <v>45261</v>
      </c>
      <c r="B26" s="27" t="s">
        <v>17</v>
      </c>
      <c r="C26" s="27" t="s">
        <v>18</v>
      </c>
      <c r="D26" s="28" t="s">
        <v>19</v>
      </c>
      <c r="E26" s="30">
        <f>LOOKUP(EOMONTH(A26,0),'출처 및 기준'!$A$34:$A$53,'출처 및 기준'!$B$34:$B$53)</f>
        <v>3.5000000000000003E-2</v>
      </c>
      <c r="F26" s="31">
        <v>5.3099999999999994E-2</v>
      </c>
      <c r="G26" s="32">
        <v>5.67E-2</v>
      </c>
      <c r="H26" s="19">
        <f t="shared" si="0"/>
        <v>0.36</v>
      </c>
      <c r="I26" s="29">
        <f t="shared" si="1"/>
        <v>1.81</v>
      </c>
      <c r="J26" s="29">
        <f t="shared" si="2"/>
        <v>2.17</v>
      </c>
      <c r="K26" s="66" t="s">
        <v>20</v>
      </c>
      <c r="L26" s="35"/>
      <c r="M26" s="36" t="s">
        <v>21</v>
      </c>
      <c r="N26" s="36" t="s">
        <v>22</v>
      </c>
      <c r="O26" s="36" t="s">
        <v>61</v>
      </c>
      <c r="P26" s="36" t="s">
        <v>62</v>
      </c>
      <c r="Q26" s="36" t="s">
        <v>25</v>
      </c>
    </row>
    <row r="27" spans="1:17" ht="25.05" customHeight="1">
      <c r="A27" s="16">
        <v>45231</v>
      </c>
      <c r="B27" s="17" t="s">
        <v>17</v>
      </c>
      <c r="C27" s="17" t="s">
        <v>18</v>
      </c>
      <c r="D27" s="18" t="s">
        <v>19</v>
      </c>
      <c r="E27" s="30">
        <f>LOOKUP(EOMONTH(A27,0),'출처 및 기준'!$A$34:$A$53,'출처 및 기준'!$B$34:$B$53)</f>
        <v>3.5000000000000003E-2</v>
      </c>
      <c r="F27" s="31">
        <v>5.3099999999999994E-2</v>
      </c>
      <c r="G27" s="32">
        <v>5.67E-2</v>
      </c>
      <c r="H27" s="19">
        <f t="shared" si="0"/>
        <v>0.36</v>
      </c>
      <c r="I27" s="19">
        <f t="shared" si="1"/>
        <v>1.81</v>
      </c>
      <c r="J27" s="19">
        <f t="shared" si="2"/>
        <v>2.17</v>
      </c>
      <c r="K27" s="65" t="s">
        <v>20</v>
      </c>
      <c r="L27" s="33"/>
      <c r="M27" s="34" t="s">
        <v>21</v>
      </c>
      <c r="N27" s="34" t="s">
        <v>22</v>
      </c>
      <c r="O27" s="34" t="s">
        <v>63</v>
      </c>
      <c r="P27" s="34" t="s">
        <v>62</v>
      </c>
      <c r="Q27" s="34" t="s">
        <v>27</v>
      </c>
    </row>
    <row r="28" spans="1:17" ht="25.05" customHeight="1">
      <c r="A28" s="26">
        <v>45200</v>
      </c>
      <c r="B28" s="27" t="s">
        <v>17</v>
      </c>
      <c r="C28" s="27" t="s">
        <v>18</v>
      </c>
      <c r="D28" s="28" t="s">
        <v>19</v>
      </c>
      <c r="E28" s="30">
        <f>LOOKUP(EOMONTH(A28,0),'출처 및 기준'!$A$34:$A$53,'출처 및 기준'!$B$34:$B$53)</f>
        <v>3.5000000000000003E-2</v>
      </c>
      <c r="F28" s="31">
        <v>5.2900000000000003E-2</v>
      </c>
      <c r="G28" s="32">
        <v>5.6399999999999999E-2</v>
      </c>
      <c r="H28" s="19">
        <f t="shared" si="0"/>
        <v>0.35</v>
      </c>
      <c r="I28" s="29">
        <f t="shared" si="1"/>
        <v>1.79</v>
      </c>
      <c r="J28" s="29">
        <f t="shared" si="2"/>
        <v>2.14</v>
      </c>
      <c r="K28" s="66" t="s">
        <v>20</v>
      </c>
      <c r="L28" s="35"/>
      <c r="M28" s="36" t="s">
        <v>21</v>
      </c>
      <c r="N28" s="36" t="s">
        <v>22</v>
      </c>
      <c r="O28" s="36" t="s">
        <v>64</v>
      </c>
      <c r="P28" s="36" t="s">
        <v>62</v>
      </c>
      <c r="Q28" s="36" t="s">
        <v>29</v>
      </c>
    </row>
    <row r="29" spans="1:17" ht="25.05" customHeight="1">
      <c r="A29" s="16">
        <v>45170</v>
      </c>
      <c r="B29" s="17" t="s">
        <v>17</v>
      </c>
      <c r="C29" s="17" t="s">
        <v>18</v>
      </c>
      <c r="D29" s="18" t="s">
        <v>19</v>
      </c>
      <c r="E29" s="30">
        <f>LOOKUP(EOMONTH(A29,0),'출처 및 기준'!$A$34:$A$53,'출처 및 기준'!$B$34:$B$53)</f>
        <v>3.5000000000000003E-2</v>
      </c>
      <c r="F29" s="31">
        <v>5.28E-2</v>
      </c>
      <c r="G29" s="32">
        <v>5.5999999999999994E-2</v>
      </c>
      <c r="H29" s="19">
        <f t="shared" si="0"/>
        <v>0.32</v>
      </c>
      <c r="I29" s="19">
        <f t="shared" si="1"/>
        <v>1.78</v>
      </c>
      <c r="J29" s="19">
        <f t="shared" si="2"/>
        <v>2.1</v>
      </c>
      <c r="K29" s="65" t="s">
        <v>20</v>
      </c>
      <c r="L29" s="33"/>
      <c r="M29" s="34" t="s">
        <v>21</v>
      </c>
      <c r="N29" s="34" t="s">
        <v>22</v>
      </c>
      <c r="O29" s="34" t="s">
        <v>65</v>
      </c>
      <c r="P29" s="34" t="s">
        <v>62</v>
      </c>
      <c r="Q29" s="34" t="s">
        <v>31</v>
      </c>
    </row>
    <row r="30" spans="1:17" ht="25.05" customHeight="1">
      <c r="A30" s="26">
        <v>45139</v>
      </c>
      <c r="B30" s="27" t="s">
        <v>17</v>
      </c>
      <c r="C30" s="27" t="s">
        <v>18</v>
      </c>
      <c r="D30" s="28" t="s">
        <v>19</v>
      </c>
      <c r="E30" s="30">
        <f>LOOKUP(EOMONTH(A30,0),'출처 및 기준'!$A$34:$A$53,'출처 및 기준'!$B$34:$B$53)</f>
        <v>3.5000000000000003E-2</v>
      </c>
      <c r="F30" s="31">
        <v>5.2699999999999997E-2</v>
      </c>
      <c r="G30" s="32">
        <v>5.5999999999999994E-2</v>
      </c>
      <c r="H30" s="19">
        <f t="shared" si="0"/>
        <v>0.33</v>
      </c>
      <c r="I30" s="29">
        <f t="shared" si="1"/>
        <v>1.77</v>
      </c>
      <c r="J30" s="29">
        <f t="shared" si="2"/>
        <v>2.1</v>
      </c>
      <c r="K30" s="66" t="s">
        <v>20</v>
      </c>
      <c r="L30" s="35"/>
      <c r="M30" s="36" t="s">
        <v>21</v>
      </c>
      <c r="N30" s="36" t="s">
        <v>22</v>
      </c>
      <c r="O30" s="36" t="s">
        <v>66</v>
      </c>
      <c r="P30" s="36" t="s">
        <v>62</v>
      </c>
      <c r="Q30" s="36" t="s">
        <v>33</v>
      </c>
    </row>
    <row r="31" spans="1:17" ht="25.05" customHeight="1">
      <c r="A31" s="16">
        <v>45108</v>
      </c>
      <c r="B31" s="17" t="s">
        <v>17</v>
      </c>
      <c r="C31" s="17" t="s">
        <v>18</v>
      </c>
      <c r="D31" s="18" t="s">
        <v>19</v>
      </c>
      <c r="E31" s="30">
        <f>LOOKUP(EOMONTH(A31,0),'출처 및 기준'!$A$34:$A$53,'출처 및 기준'!$B$34:$B$53)</f>
        <v>3.5000000000000003E-2</v>
      </c>
      <c r="F31" s="31">
        <v>5.2600000000000001E-2</v>
      </c>
      <c r="G31" s="32">
        <v>5.5899999999999998E-2</v>
      </c>
      <c r="H31" s="19">
        <f t="shared" si="0"/>
        <v>0.33</v>
      </c>
      <c r="I31" s="19">
        <f t="shared" si="1"/>
        <v>1.76</v>
      </c>
      <c r="J31" s="19">
        <f t="shared" si="2"/>
        <v>2.09</v>
      </c>
      <c r="K31" s="65" t="s">
        <v>20</v>
      </c>
      <c r="L31" s="33"/>
      <c r="M31" s="34" t="s">
        <v>21</v>
      </c>
      <c r="N31" s="34" t="s">
        <v>22</v>
      </c>
      <c r="O31" s="34" t="s">
        <v>67</v>
      </c>
      <c r="P31" s="34" t="s">
        <v>62</v>
      </c>
      <c r="Q31" s="34" t="s">
        <v>35</v>
      </c>
    </row>
    <row r="32" spans="1:17" ht="25.05" customHeight="1">
      <c r="A32" s="26">
        <v>45078</v>
      </c>
      <c r="B32" s="27" t="s">
        <v>17</v>
      </c>
      <c r="C32" s="27" t="s">
        <v>18</v>
      </c>
      <c r="D32" s="28" t="s">
        <v>19</v>
      </c>
      <c r="E32" s="30">
        <f>LOOKUP(EOMONTH(A32,0),'출처 및 기준'!$A$34:$A$53,'출처 및 기준'!$B$34:$B$53)</f>
        <v>3.5000000000000003E-2</v>
      </c>
      <c r="F32" s="31">
        <v>5.2300000000000006E-2</v>
      </c>
      <c r="G32" s="32">
        <v>5.57E-2</v>
      </c>
      <c r="H32" s="19">
        <f t="shared" si="0"/>
        <v>0.34</v>
      </c>
      <c r="I32" s="29">
        <f t="shared" si="1"/>
        <v>1.73</v>
      </c>
      <c r="J32" s="29">
        <f t="shared" si="2"/>
        <v>2.0699999999999998</v>
      </c>
      <c r="K32" s="66" t="s">
        <v>20</v>
      </c>
      <c r="L32" s="35"/>
      <c r="M32" s="36" t="s">
        <v>21</v>
      </c>
      <c r="N32" s="36" t="s">
        <v>22</v>
      </c>
      <c r="O32" s="36" t="s">
        <v>68</v>
      </c>
      <c r="P32" s="36" t="s">
        <v>62</v>
      </c>
      <c r="Q32" s="36" t="s">
        <v>37</v>
      </c>
    </row>
    <row r="33" spans="1:17" ht="25.05" customHeight="1">
      <c r="A33" s="47">
        <v>45992</v>
      </c>
      <c r="B33" s="54" t="s">
        <v>17</v>
      </c>
      <c r="C33" s="54" t="s">
        <v>69</v>
      </c>
      <c r="D33" s="55" t="s">
        <v>70</v>
      </c>
      <c r="E33" s="48">
        <f>LOOKUP(EOMONTH(A33,0),'출처 및 기준'!$A$34:$A$53,'출처 및 기준'!$B$34:$B$53)</f>
        <v>2.5000000000000001E-2</v>
      </c>
      <c r="F33" s="49">
        <v>0.02</v>
      </c>
      <c r="G33" s="50">
        <v>1.8200000000000001E-2</v>
      </c>
      <c r="H33" s="51">
        <f t="shared" si="0"/>
        <v>-0.18</v>
      </c>
      <c r="I33" s="51">
        <f t="shared" si="1"/>
        <v>-0.5</v>
      </c>
      <c r="J33" s="51">
        <f t="shared" si="2"/>
        <v>-0.68</v>
      </c>
      <c r="K33" s="67" t="s">
        <v>71</v>
      </c>
      <c r="L33" s="52"/>
      <c r="M33" s="53" t="s">
        <v>72</v>
      </c>
      <c r="N33" s="53" t="s">
        <v>22</v>
      </c>
      <c r="O33" s="53" t="s">
        <v>73</v>
      </c>
      <c r="P33" s="53" t="s">
        <v>24</v>
      </c>
      <c r="Q33" s="53" t="s">
        <v>74</v>
      </c>
    </row>
    <row r="34" spans="1:17" ht="25.05" customHeight="1">
      <c r="A34" s="26">
        <v>45962</v>
      </c>
      <c r="B34" s="27" t="s">
        <v>17</v>
      </c>
      <c r="C34" s="27" t="s">
        <v>69</v>
      </c>
      <c r="D34" s="28" t="s">
        <v>70</v>
      </c>
      <c r="E34" s="30">
        <f>LOOKUP(EOMONTH(A34,0),'출처 및 기준'!$A$34:$A$53,'출처 및 기준'!$B$34:$B$53)</f>
        <v>2.5000000000000001E-2</v>
      </c>
      <c r="F34" s="31">
        <v>2.0199999999999999E-2</v>
      </c>
      <c r="G34" s="32">
        <v>1.83E-2</v>
      </c>
      <c r="H34" s="19">
        <f t="shared" ref="H34:H65" si="3">IF(COUNT(F34:G34)=2,ROUND((G34-F34)*100,2),"")</f>
        <v>-0.19</v>
      </c>
      <c r="I34" s="29">
        <f t="shared" ref="I34:I65" si="4">IF(COUNT(E34:F34)=2,ROUND((F34-E34)*100,2),"")</f>
        <v>-0.48</v>
      </c>
      <c r="J34" s="29">
        <f t="shared" ref="J34:J65" si="5">IF(AND(ISNUMBER(E34),ISNUMBER(G34)),ROUND((G34-E34)*100,2),"")</f>
        <v>-0.67</v>
      </c>
      <c r="K34" s="66" t="s">
        <v>71</v>
      </c>
      <c r="L34" s="35"/>
      <c r="M34" s="36" t="s">
        <v>72</v>
      </c>
      <c r="N34" s="36" t="s">
        <v>22</v>
      </c>
      <c r="O34" s="36" t="s">
        <v>75</v>
      </c>
      <c r="P34" s="36" t="s">
        <v>24</v>
      </c>
      <c r="Q34" s="36" t="s">
        <v>76</v>
      </c>
    </row>
    <row r="35" spans="1:17" ht="25.05" customHeight="1">
      <c r="A35" s="16">
        <v>45931</v>
      </c>
      <c r="B35" s="17" t="s">
        <v>17</v>
      </c>
      <c r="C35" s="17" t="s">
        <v>69</v>
      </c>
      <c r="D35" s="18" t="s">
        <v>70</v>
      </c>
      <c r="E35" s="30">
        <f>LOOKUP(EOMONTH(A35,0),'출처 및 기준'!$A$34:$A$53,'출처 및 기준'!$B$34:$B$53)</f>
        <v>2.5000000000000001E-2</v>
      </c>
      <c r="F35" s="31">
        <v>2.0299999999999999E-2</v>
      </c>
      <c r="G35" s="32">
        <v>1.89E-2</v>
      </c>
      <c r="H35" s="19">
        <f t="shared" si="3"/>
        <v>-0.14000000000000001</v>
      </c>
      <c r="I35" s="19">
        <f t="shared" si="4"/>
        <v>-0.47</v>
      </c>
      <c r="J35" s="19">
        <f t="shared" si="5"/>
        <v>-0.61</v>
      </c>
      <c r="K35" s="65" t="s">
        <v>71</v>
      </c>
      <c r="L35" s="33"/>
      <c r="M35" s="34" t="s">
        <v>72</v>
      </c>
      <c r="N35" s="34" t="s">
        <v>22</v>
      </c>
      <c r="O35" s="34" t="s">
        <v>77</v>
      </c>
      <c r="P35" s="34" t="s">
        <v>24</v>
      </c>
      <c r="Q35" s="34" t="s">
        <v>78</v>
      </c>
    </row>
    <row r="36" spans="1:17" ht="25.05" customHeight="1">
      <c r="A36" s="26">
        <v>45901</v>
      </c>
      <c r="B36" s="27" t="s">
        <v>17</v>
      </c>
      <c r="C36" s="27" t="s">
        <v>69</v>
      </c>
      <c r="D36" s="28" t="s">
        <v>70</v>
      </c>
      <c r="E36" s="30">
        <f>LOOKUP(EOMONTH(A36,0),'출처 및 기준'!$A$34:$A$53,'출처 및 기준'!$B$34:$B$53)</f>
        <v>2.5000000000000001E-2</v>
      </c>
      <c r="F36" s="31">
        <v>2.0400000000000001E-2</v>
      </c>
      <c r="G36" s="32">
        <v>1.9099999999999999E-2</v>
      </c>
      <c r="H36" s="19">
        <f t="shared" si="3"/>
        <v>-0.13</v>
      </c>
      <c r="I36" s="29">
        <f t="shared" si="4"/>
        <v>-0.46</v>
      </c>
      <c r="J36" s="29">
        <f t="shared" si="5"/>
        <v>-0.59</v>
      </c>
      <c r="K36" s="66" t="s">
        <v>71</v>
      </c>
      <c r="L36" s="35"/>
      <c r="M36" s="36" t="s">
        <v>72</v>
      </c>
      <c r="N36" s="36" t="s">
        <v>22</v>
      </c>
      <c r="O36" s="36" t="s">
        <v>79</v>
      </c>
      <c r="P36" s="36" t="s">
        <v>24</v>
      </c>
      <c r="Q36" s="36" t="s">
        <v>80</v>
      </c>
    </row>
    <row r="37" spans="1:17" ht="25.05" customHeight="1">
      <c r="A37" s="16">
        <v>45870</v>
      </c>
      <c r="B37" s="17" t="s">
        <v>17</v>
      </c>
      <c r="C37" s="17" t="s">
        <v>69</v>
      </c>
      <c r="D37" s="18" t="s">
        <v>70</v>
      </c>
      <c r="E37" s="30">
        <f>LOOKUP(EOMONTH(A37,0),'출처 및 기준'!$A$34:$A$53,'출처 및 기준'!$B$34:$B$53)</f>
        <v>2.5000000000000001E-2</v>
      </c>
      <c r="F37" s="31">
        <v>2.0799999999999999E-2</v>
      </c>
      <c r="G37" s="32">
        <v>1.9400000000000001E-2</v>
      </c>
      <c r="H37" s="19">
        <f t="shared" si="3"/>
        <v>-0.14000000000000001</v>
      </c>
      <c r="I37" s="19">
        <f t="shared" si="4"/>
        <v>-0.42</v>
      </c>
      <c r="J37" s="19">
        <f t="shared" si="5"/>
        <v>-0.56000000000000005</v>
      </c>
      <c r="K37" s="65" t="s">
        <v>71</v>
      </c>
      <c r="L37" s="33"/>
      <c r="M37" s="34" t="s">
        <v>72</v>
      </c>
      <c r="N37" s="34" t="s">
        <v>22</v>
      </c>
      <c r="O37" s="34" t="s">
        <v>81</v>
      </c>
      <c r="P37" s="34" t="s">
        <v>24</v>
      </c>
      <c r="Q37" s="34" t="s">
        <v>82</v>
      </c>
    </row>
    <row r="38" spans="1:17" ht="25.05" customHeight="1">
      <c r="A38" s="26">
        <v>45839</v>
      </c>
      <c r="B38" s="27" t="s">
        <v>17</v>
      </c>
      <c r="C38" s="27" t="s">
        <v>69</v>
      </c>
      <c r="D38" s="28" t="s">
        <v>70</v>
      </c>
      <c r="E38" s="30">
        <f>LOOKUP(EOMONTH(A38,0),'출처 및 기준'!$A$34:$A$53,'출처 및 기준'!$B$34:$B$53)</f>
        <v>2.5000000000000001E-2</v>
      </c>
      <c r="F38" s="31">
        <v>2.12E-2</v>
      </c>
      <c r="G38" s="32">
        <v>0.02</v>
      </c>
      <c r="H38" s="19">
        <f t="shared" si="3"/>
        <v>-0.12</v>
      </c>
      <c r="I38" s="29">
        <f t="shared" si="4"/>
        <v>-0.38</v>
      </c>
      <c r="J38" s="29">
        <f t="shared" si="5"/>
        <v>-0.5</v>
      </c>
      <c r="K38" s="66" t="s">
        <v>71</v>
      </c>
      <c r="L38" s="35"/>
      <c r="M38" s="36" t="s">
        <v>72</v>
      </c>
      <c r="N38" s="36" t="s">
        <v>22</v>
      </c>
      <c r="O38" s="36" t="s">
        <v>83</v>
      </c>
      <c r="P38" s="36" t="s">
        <v>24</v>
      </c>
      <c r="Q38" s="36" t="s">
        <v>84</v>
      </c>
    </row>
    <row r="39" spans="1:17" ht="25.05" customHeight="1">
      <c r="A39" s="16">
        <v>45809</v>
      </c>
      <c r="B39" s="17" t="s">
        <v>17</v>
      </c>
      <c r="C39" s="17" t="s">
        <v>69</v>
      </c>
      <c r="D39" s="18" t="s">
        <v>70</v>
      </c>
      <c r="E39" s="30">
        <f>LOOKUP(EOMONTH(A39,0),'출처 및 기준'!$A$34:$A$53,'출처 및 기준'!$B$34:$B$53)</f>
        <v>2.5000000000000001E-2</v>
      </c>
      <c r="F39" s="31">
        <v>2.1499999999999998E-2</v>
      </c>
      <c r="G39" s="32">
        <v>2.0400000000000001E-2</v>
      </c>
      <c r="H39" s="19">
        <f t="shared" si="3"/>
        <v>-0.11</v>
      </c>
      <c r="I39" s="19">
        <f t="shared" si="4"/>
        <v>-0.35</v>
      </c>
      <c r="J39" s="19">
        <f t="shared" si="5"/>
        <v>-0.46</v>
      </c>
      <c r="K39" s="65" t="s">
        <v>71</v>
      </c>
      <c r="L39" s="33"/>
      <c r="M39" s="34" t="s">
        <v>72</v>
      </c>
      <c r="N39" s="34" t="s">
        <v>22</v>
      </c>
      <c r="O39" s="34" t="s">
        <v>85</v>
      </c>
      <c r="P39" s="34" t="s">
        <v>24</v>
      </c>
      <c r="Q39" s="34" t="s">
        <v>86</v>
      </c>
    </row>
    <row r="40" spans="1:17" ht="25.05" customHeight="1">
      <c r="A40" s="26">
        <v>45778</v>
      </c>
      <c r="B40" s="27" t="s">
        <v>17</v>
      </c>
      <c r="C40" s="27" t="s">
        <v>69</v>
      </c>
      <c r="D40" s="28" t="s">
        <v>70</v>
      </c>
      <c r="E40" s="30">
        <f>LOOKUP(EOMONTH(A40,0),'출처 및 기준'!$A$34:$A$53,'출처 및 기준'!$B$34:$B$53)</f>
        <v>2.5000000000000001E-2</v>
      </c>
      <c r="F40" s="31">
        <v>2.23E-2</v>
      </c>
      <c r="G40" s="32">
        <v>2.12E-2</v>
      </c>
      <c r="H40" s="19">
        <f t="shared" si="3"/>
        <v>-0.11</v>
      </c>
      <c r="I40" s="29">
        <f t="shared" si="4"/>
        <v>-0.27</v>
      </c>
      <c r="J40" s="29">
        <f t="shared" si="5"/>
        <v>-0.38</v>
      </c>
      <c r="K40" s="66" t="s">
        <v>71</v>
      </c>
      <c r="L40" s="35"/>
      <c r="M40" s="36" t="s">
        <v>72</v>
      </c>
      <c r="N40" s="36" t="s">
        <v>22</v>
      </c>
      <c r="O40" s="36" t="s">
        <v>87</v>
      </c>
      <c r="P40" s="36" t="s">
        <v>24</v>
      </c>
      <c r="Q40" s="36" t="s">
        <v>88</v>
      </c>
    </row>
    <row r="41" spans="1:17" ht="25.05" customHeight="1">
      <c r="A41" s="16">
        <v>45748</v>
      </c>
      <c r="B41" s="17" t="s">
        <v>17</v>
      </c>
      <c r="C41" s="17" t="s">
        <v>69</v>
      </c>
      <c r="D41" s="18" t="s">
        <v>70</v>
      </c>
      <c r="E41" s="30">
        <f>LOOKUP(EOMONTH(A41,0),'출처 및 기준'!$A$34:$A$53,'출처 및 기준'!$B$34:$B$53)</f>
        <v>2.75E-2</v>
      </c>
      <c r="F41" s="31">
        <v>2.2700000000000001E-2</v>
      </c>
      <c r="G41" s="32">
        <v>2.1499999999999998E-2</v>
      </c>
      <c r="H41" s="19">
        <f t="shared" si="3"/>
        <v>-0.12</v>
      </c>
      <c r="I41" s="19">
        <f t="shared" si="4"/>
        <v>-0.48</v>
      </c>
      <c r="J41" s="19">
        <f t="shared" si="5"/>
        <v>-0.6</v>
      </c>
      <c r="K41" s="65" t="s">
        <v>71</v>
      </c>
      <c r="L41" s="33"/>
      <c r="M41" s="34" t="s">
        <v>72</v>
      </c>
      <c r="N41" s="34" t="s">
        <v>22</v>
      </c>
      <c r="O41" s="34" t="s">
        <v>89</v>
      </c>
      <c r="P41" s="34" t="s">
        <v>24</v>
      </c>
      <c r="Q41" s="34" t="s">
        <v>90</v>
      </c>
    </row>
    <row r="42" spans="1:17" ht="25.05" customHeight="1">
      <c r="A42" s="26">
        <v>45717</v>
      </c>
      <c r="B42" s="27" t="s">
        <v>17</v>
      </c>
      <c r="C42" s="27" t="s">
        <v>69</v>
      </c>
      <c r="D42" s="28" t="s">
        <v>70</v>
      </c>
      <c r="E42" s="30">
        <f>LOOKUP(EOMONTH(A42,0),'출처 및 기준'!$A$34:$A$53,'출처 및 기준'!$B$34:$B$53)</f>
        <v>2.75E-2</v>
      </c>
      <c r="F42" s="31">
        <v>2.3E-2</v>
      </c>
      <c r="G42" s="32">
        <v>2.1600000000000001E-2</v>
      </c>
      <c r="H42" s="19">
        <f t="shared" si="3"/>
        <v>-0.14000000000000001</v>
      </c>
      <c r="I42" s="29">
        <f t="shared" si="4"/>
        <v>-0.45</v>
      </c>
      <c r="J42" s="29">
        <f t="shared" si="5"/>
        <v>-0.59</v>
      </c>
      <c r="K42" s="66" t="s">
        <v>71</v>
      </c>
      <c r="L42" s="35"/>
      <c r="M42" s="36" t="s">
        <v>72</v>
      </c>
      <c r="N42" s="36" t="s">
        <v>22</v>
      </c>
      <c r="O42" s="36" t="s">
        <v>91</v>
      </c>
      <c r="P42" s="36" t="s">
        <v>24</v>
      </c>
      <c r="Q42" s="36" t="s">
        <v>92</v>
      </c>
    </row>
    <row r="43" spans="1:17" ht="25.05" customHeight="1">
      <c r="A43" s="16">
        <v>45689</v>
      </c>
      <c r="B43" s="17" t="s">
        <v>17</v>
      </c>
      <c r="C43" s="17" t="s">
        <v>69</v>
      </c>
      <c r="D43" s="18" t="s">
        <v>70</v>
      </c>
      <c r="E43" s="30">
        <f>LOOKUP(EOMONTH(A43,0),'출처 및 기준'!$A$34:$A$53,'출처 및 기준'!$B$34:$B$53)</f>
        <v>2.75E-2</v>
      </c>
      <c r="F43" s="31">
        <v>2.3799999999999998E-2</v>
      </c>
      <c r="G43" s="32">
        <v>2.2400000000000003E-2</v>
      </c>
      <c r="H43" s="19">
        <f t="shared" si="3"/>
        <v>-0.14000000000000001</v>
      </c>
      <c r="I43" s="19">
        <f t="shared" si="4"/>
        <v>-0.37</v>
      </c>
      <c r="J43" s="19">
        <f t="shared" si="5"/>
        <v>-0.51</v>
      </c>
      <c r="K43" s="65" t="s">
        <v>71</v>
      </c>
      <c r="L43" s="33"/>
      <c r="M43" s="34" t="s">
        <v>72</v>
      </c>
      <c r="N43" s="34" t="s">
        <v>22</v>
      </c>
      <c r="O43" s="34" t="s">
        <v>93</v>
      </c>
      <c r="P43" s="34" t="s">
        <v>24</v>
      </c>
      <c r="Q43" s="34" t="s">
        <v>94</v>
      </c>
    </row>
    <row r="44" spans="1:17" ht="25.05" customHeight="1">
      <c r="A44" s="26">
        <v>45658</v>
      </c>
      <c r="B44" s="27" t="s">
        <v>17</v>
      </c>
      <c r="C44" s="27" t="s">
        <v>69</v>
      </c>
      <c r="D44" s="28" t="s">
        <v>70</v>
      </c>
      <c r="E44" s="30">
        <f>LOOKUP(EOMONTH(A44,0),'출처 및 기준'!$A$34:$A$53,'출처 및 기준'!$B$34:$B$53)</f>
        <v>0.03</v>
      </c>
      <c r="F44" s="31">
        <v>2.4E-2</v>
      </c>
      <c r="G44" s="32">
        <v>2.3199999999999998E-2</v>
      </c>
      <c r="H44" s="19">
        <f t="shared" si="3"/>
        <v>-0.08</v>
      </c>
      <c r="I44" s="29">
        <f t="shared" si="4"/>
        <v>-0.6</v>
      </c>
      <c r="J44" s="29">
        <f t="shared" si="5"/>
        <v>-0.68</v>
      </c>
      <c r="K44" s="66" t="s">
        <v>71</v>
      </c>
      <c r="L44" s="35"/>
      <c r="M44" s="36" t="s">
        <v>72</v>
      </c>
      <c r="N44" s="36" t="s">
        <v>22</v>
      </c>
      <c r="O44" s="36" t="s">
        <v>95</v>
      </c>
      <c r="P44" s="36" t="s">
        <v>24</v>
      </c>
      <c r="Q44" s="36" t="s">
        <v>96</v>
      </c>
    </row>
    <row r="45" spans="1:17" ht="25.05" customHeight="1">
      <c r="A45" s="16">
        <v>45627</v>
      </c>
      <c r="B45" s="17" t="s">
        <v>17</v>
      </c>
      <c r="C45" s="17" t="s">
        <v>69</v>
      </c>
      <c r="D45" s="18" t="s">
        <v>70</v>
      </c>
      <c r="E45" s="30">
        <f>LOOKUP(EOMONTH(A45,0),'출처 및 기준'!$A$34:$A$53,'출처 및 기준'!$B$34:$B$53)</f>
        <v>0.03</v>
      </c>
      <c r="F45" s="31">
        <v>2.4399999999999998E-2</v>
      </c>
      <c r="G45" s="32">
        <v>2.35E-2</v>
      </c>
      <c r="H45" s="19">
        <f t="shared" si="3"/>
        <v>-0.09</v>
      </c>
      <c r="I45" s="19">
        <f t="shared" si="4"/>
        <v>-0.56000000000000005</v>
      </c>
      <c r="J45" s="19">
        <f t="shared" si="5"/>
        <v>-0.65</v>
      </c>
      <c r="K45" s="65" t="s">
        <v>71</v>
      </c>
      <c r="L45" s="33"/>
      <c r="M45" s="34" t="s">
        <v>72</v>
      </c>
      <c r="N45" s="34" t="s">
        <v>22</v>
      </c>
      <c r="O45" s="34" t="s">
        <v>97</v>
      </c>
      <c r="P45" s="34" t="s">
        <v>49</v>
      </c>
      <c r="Q45" s="34" t="s">
        <v>74</v>
      </c>
    </row>
    <row r="46" spans="1:17" ht="25.05" customHeight="1">
      <c r="A46" s="26">
        <v>45597</v>
      </c>
      <c r="B46" s="27" t="s">
        <v>17</v>
      </c>
      <c r="C46" s="27" t="s">
        <v>69</v>
      </c>
      <c r="D46" s="28" t="s">
        <v>70</v>
      </c>
      <c r="E46" s="30">
        <f>LOOKUP(EOMONTH(A46,0),'출처 및 기준'!$A$34:$A$53,'출처 및 기준'!$B$34:$B$53)</f>
        <v>0.03</v>
      </c>
      <c r="F46" s="31">
        <v>2.53E-2</v>
      </c>
      <c r="G46" s="32">
        <v>2.3900000000000001E-2</v>
      </c>
      <c r="H46" s="19">
        <f t="shared" si="3"/>
        <v>-0.14000000000000001</v>
      </c>
      <c r="I46" s="29">
        <f t="shared" si="4"/>
        <v>-0.47</v>
      </c>
      <c r="J46" s="29">
        <f t="shared" si="5"/>
        <v>-0.61</v>
      </c>
      <c r="K46" s="66" t="s">
        <v>71</v>
      </c>
      <c r="L46" s="35"/>
      <c r="M46" s="36" t="s">
        <v>72</v>
      </c>
      <c r="N46" s="36" t="s">
        <v>22</v>
      </c>
      <c r="O46" s="36" t="s">
        <v>98</v>
      </c>
      <c r="P46" s="36" t="s">
        <v>49</v>
      </c>
      <c r="Q46" s="36" t="s">
        <v>76</v>
      </c>
    </row>
    <row r="47" spans="1:17" ht="25.05" customHeight="1">
      <c r="A47" s="16">
        <v>45566</v>
      </c>
      <c r="B47" s="17" t="s">
        <v>17</v>
      </c>
      <c r="C47" s="17" t="s">
        <v>69</v>
      </c>
      <c r="D47" s="18" t="s">
        <v>70</v>
      </c>
      <c r="E47" s="30">
        <f>LOOKUP(EOMONTH(A47,0),'출처 및 기준'!$A$34:$A$53,'출처 및 기준'!$B$34:$B$53)</f>
        <v>3.2500000000000001E-2</v>
      </c>
      <c r="F47" s="31">
        <v>2.5699999999999997E-2</v>
      </c>
      <c r="G47" s="32">
        <v>2.4300000000000002E-2</v>
      </c>
      <c r="H47" s="19">
        <f t="shared" si="3"/>
        <v>-0.14000000000000001</v>
      </c>
      <c r="I47" s="19">
        <f t="shared" si="4"/>
        <v>-0.68</v>
      </c>
      <c r="J47" s="19">
        <f t="shared" si="5"/>
        <v>-0.82</v>
      </c>
      <c r="K47" s="65" t="s">
        <v>71</v>
      </c>
      <c r="L47" s="33"/>
      <c r="M47" s="34" t="s">
        <v>72</v>
      </c>
      <c r="N47" s="34" t="s">
        <v>22</v>
      </c>
      <c r="O47" s="34" t="s">
        <v>99</v>
      </c>
      <c r="P47" s="34" t="s">
        <v>49</v>
      </c>
      <c r="Q47" s="34" t="s">
        <v>78</v>
      </c>
    </row>
    <row r="48" spans="1:17" ht="25.05" customHeight="1">
      <c r="A48" s="26">
        <v>45536</v>
      </c>
      <c r="B48" s="27" t="s">
        <v>17</v>
      </c>
      <c r="C48" s="27" t="s">
        <v>69</v>
      </c>
      <c r="D48" s="28" t="s">
        <v>70</v>
      </c>
      <c r="E48" s="30">
        <f>LOOKUP(EOMONTH(A48,0),'출처 및 기준'!$A$34:$A$53,'출처 및 기준'!$B$34:$B$53)</f>
        <v>3.5000000000000003E-2</v>
      </c>
      <c r="F48" s="31">
        <v>2.5899999999999999E-2</v>
      </c>
      <c r="G48" s="32">
        <v>2.4300000000000002E-2</v>
      </c>
      <c r="H48" s="19">
        <f t="shared" si="3"/>
        <v>-0.16</v>
      </c>
      <c r="I48" s="29">
        <f t="shared" si="4"/>
        <v>-0.91</v>
      </c>
      <c r="J48" s="29">
        <f t="shared" si="5"/>
        <v>-1.07</v>
      </c>
      <c r="K48" s="66" t="s">
        <v>71</v>
      </c>
      <c r="L48" s="35"/>
      <c r="M48" s="36" t="s">
        <v>72</v>
      </c>
      <c r="N48" s="36" t="s">
        <v>22</v>
      </c>
      <c r="O48" s="36" t="s">
        <v>100</v>
      </c>
      <c r="P48" s="36" t="s">
        <v>49</v>
      </c>
      <c r="Q48" s="36" t="s">
        <v>80</v>
      </c>
    </row>
    <row r="49" spans="1:17" ht="25.05" customHeight="1">
      <c r="A49" s="16">
        <v>45505</v>
      </c>
      <c r="B49" s="17" t="s">
        <v>17</v>
      </c>
      <c r="C49" s="17" t="s">
        <v>69</v>
      </c>
      <c r="D49" s="18" t="s">
        <v>70</v>
      </c>
      <c r="E49" s="30">
        <f>LOOKUP(EOMONTH(A49,0),'출처 및 기준'!$A$34:$A$53,'출처 및 기준'!$B$34:$B$53)</f>
        <v>3.5000000000000003E-2</v>
      </c>
      <c r="F49" s="31">
        <v>2.6000000000000002E-2</v>
      </c>
      <c r="G49" s="32">
        <v>2.4300000000000002E-2</v>
      </c>
      <c r="H49" s="19">
        <f t="shared" si="3"/>
        <v>-0.17</v>
      </c>
      <c r="I49" s="19">
        <f t="shared" si="4"/>
        <v>-0.9</v>
      </c>
      <c r="J49" s="19">
        <f t="shared" si="5"/>
        <v>-1.07</v>
      </c>
      <c r="K49" s="65" t="s">
        <v>71</v>
      </c>
      <c r="L49" s="33"/>
      <c r="M49" s="34" t="s">
        <v>72</v>
      </c>
      <c r="N49" s="34" t="s">
        <v>22</v>
      </c>
      <c r="O49" s="34" t="s">
        <v>101</v>
      </c>
      <c r="P49" s="34" t="s">
        <v>49</v>
      </c>
      <c r="Q49" s="34" t="s">
        <v>82</v>
      </c>
    </row>
    <row r="50" spans="1:17" ht="25.05" customHeight="1">
      <c r="A50" s="26">
        <v>45474</v>
      </c>
      <c r="B50" s="27" t="s">
        <v>17</v>
      </c>
      <c r="C50" s="27" t="s">
        <v>69</v>
      </c>
      <c r="D50" s="28" t="s">
        <v>70</v>
      </c>
      <c r="E50" s="30">
        <f>LOOKUP(EOMONTH(A50,0),'출처 및 기준'!$A$34:$A$53,'출처 및 기준'!$B$34:$B$53)</f>
        <v>3.5000000000000003E-2</v>
      </c>
      <c r="F50" s="31">
        <v>2.6099999999999998E-2</v>
      </c>
      <c r="G50" s="32">
        <v>2.4700000000000003E-2</v>
      </c>
      <c r="H50" s="19">
        <f t="shared" si="3"/>
        <v>-0.14000000000000001</v>
      </c>
      <c r="I50" s="29">
        <f t="shared" si="4"/>
        <v>-0.89</v>
      </c>
      <c r="J50" s="29">
        <f t="shared" si="5"/>
        <v>-1.03</v>
      </c>
      <c r="K50" s="66" t="s">
        <v>71</v>
      </c>
      <c r="L50" s="35"/>
      <c r="M50" s="36" t="s">
        <v>72</v>
      </c>
      <c r="N50" s="36" t="s">
        <v>22</v>
      </c>
      <c r="O50" s="36" t="s">
        <v>102</v>
      </c>
      <c r="P50" s="36" t="s">
        <v>49</v>
      </c>
      <c r="Q50" s="36" t="s">
        <v>84</v>
      </c>
    </row>
    <row r="51" spans="1:17" ht="25.05" customHeight="1">
      <c r="A51" s="16">
        <v>45444</v>
      </c>
      <c r="B51" s="17" t="s">
        <v>17</v>
      </c>
      <c r="C51" s="17" t="s">
        <v>69</v>
      </c>
      <c r="D51" s="18" t="s">
        <v>70</v>
      </c>
      <c r="E51" s="30">
        <f>LOOKUP(EOMONTH(A51,0),'출처 및 기준'!$A$34:$A$53,'출처 및 기준'!$B$34:$B$53)</f>
        <v>3.5000000000000003E-2</v>
      </c>
      <c r="F51" s="31">
        <v>2.6000000000000002E-2</v>
      </c>
      <c r="G51" s="32">
        <v>2.4E-2</v>
      </c>
      <c r="H51" s="19">
        <f t="shared" si="3"/>
        <v>-0.2</v>
      </c>
      <c r="I51" s="19">
        <f t="shared" si="4"/>
        <v>-0.9</v>
      </c>
      <c r="J51" s="19">
        <f t="shared" si="5"/>
        <v>-1.1000000000000001</v>
      </c>
      <c r="K51" s="65" t="s">
        <v>71</v>
      </c>
      <c r="L51" s="33"/>
      <c r="M51" s="34" t="s">
        <v>72</v>
      </c>
      <c r="N51" s="34" t="s">
        <v>22</v>
      </c>
      <c r="O51" s="34" t="s">
        <v>103</v>
      </c>
      <c r="P51" s="34" t="s">
        <v>49</v>
      </c>
      <c r="Q51" s="34" t="s">
        <v>86</v>
      </c>
    </row>
    <row r="52" spans="1:17" ht="25.05" customHeight="1">
      <c r="A52" s="26">
        <v>45413</v>
      </c>
      <c r="B52" s="27" t="s">
        <v>17</v>
      </c>
      <c r="C52" s="27" t="s">
        <v>69</v>
      </c>
      <c r="D52" s="28" t="s">
        <v>70</v>
      </c>
      <c r="E52" s="30">
        <f>LOOKUP(EOMONTH(A52,0),'출처 및 기준'!$A$34:$A$53,'출처 및 기준'!$B$34:$B$53)</f>
        <v>3.5000000000000003E-2</v>
      </c>
      <c r="F52" s="31">
        <v>2.63E-2</v>
      </c>
      <c r="G52" s="32">
        <v>2.4300000000000002E-2</v>
      </c>
      <c r="H52" s="19">
        <f t="shared" si="3"/>
        <v>-0.2</v>
      </c>
      <c r="I52" s="29">
        <f t="shared" si="4"/>
        <v>-0.87</v>
      </c>
      <c r="J52" s="29">
        <f t="shared" si="5"/>
        <v>-1.07</v>
      </c>
      <c r="K52" s="66" t="s">
        <v>71</v>
      </c>
      <c r="L52" s="35"/>
      <c r="M52" s="36" t="s">
        <v>72</v>
      </c>
      <c r="N52" s="36" t="s">
        <v>22</v>
      </c>
      <c r="O52" s="36" t="s">
        <v>104</v>
      </c>
      <c r="P52" s="36" t="s">
        <v>49</v>
      </c>
      <c r="Q52" s="36" t="s">
        <v>88</v>
      </c>
    </row>
    <row r="53" spans="1:17" ht="25.05" customHeight="1">
      <c r="A53" s="16">
        <v>45383</v>
      </c>
      <c r="B53" s="17" t="s">
        <v>17</v>
      </c>
      <c r="C53" s="17" t="s">
        <v>69</v>
      </c>
      <c r="D53" s="18" t="s">
        <v>70</v>
      </c>
      <c r="E53" s="30">
        <f>LOOKUP(EOMONTH(A53,0),'출처 및 기준'!$A$34:$A$53,'출처 및 기준'!$B$34:$B$53)</f>
        <v>3.5000000000000003E-2</v>
      </c>
      <c r="F53" s="31">
        <v>2.63E-2</v>
      </c>
      <c r="G53" s="32">
        <v>2.41E-2</v>
      </c>
      <c r="H53" s="19">
        <f t="shared" si="3"/>
        <v>-0.22</v>
      </c>
      <c r="I53" s="19">
        <f t="shared" si="4"/>
        <v>-0.87</v>
      </c>
      <c r="J53" s="19">
        <f t="shared" si="5"/>
        <v>-1.0900000000000001</v>
      </c>
      <c r="K53" s="65" t="s">
        <v>71</v>
      </c>
      <c r="L53" s="33"/>
      <c r="M53" s="34" t="s">
        <v>72</v>
      </c>
      <c r="N53" s="34" t="s">
        <v>22</v>
      </c>
      <c r="O53" s="34" t="s">
        <v>105</v>
      </c>
      <c r="P53" s="34" t="s">
        <v>49</v>
      </c>
      <c r="Q53" s="34" t="s">
        <v>90</v>
      </c>
    </row>
    <row r="54" spans="1:17" ht="25.05" customHeight="1">
      <c r="A54" s="26">
        <v>45352</v>
      </c>
      <c r="B54" s="27" t="s">
        <v>17</v>
      </c>
      <c r="C54" s="27" t="s">
        <v>69</v>
      </c>
      <c r="D54" s="28" t="s">
        <v>70</v>
      </c>
      <c r="E54" s="30">
        <f>LOOKUP(EOMONTH(A54,0),'출처 및 기준'!$A$34:$A$53,'출처 및 기준'!$B$34:$B$53)</f>
        <v>3.5000000000000003E-2</v>
      </c>
      <c r="F54" s="31">
        <v>2.6000000000000002E-2</v>
      </c>
      <c r="G54" s="32">
        <v>2.3700000000000002E-2</v>
      </c>
      <c r="H54" s="19">
        <f t="shared" si="3"/>
        <v>-0.23</v>
      </c>
      <c r="I54" s="29">
        <f t="shared" si="4"/>
        <v>-0.9</v>
      </c>
      <c r="J54" s="29">
        <f t="shared" si="5"/>
        <v>-1.1299999999999999</v>
      </c>
      <c r="K54" s="66" t="s">
        <v>71</v>
      </c>
      <c r="L54" s="35"/>
      <c r="M54" s="36" t="s">
        <v>72</v>
      </c>
      <c r="N54" s="36" t="s">
        <v>22</v>
      </c>
      <c r="O54" s="36" t="s">
        <v>106</v>
      </c>
      <c r="P54" s="36" t="s">
        <v>49</v>
      </c>
      <c r="Q54" s="36" t="s">
        <v>92</v>
      </c>
    </row>
    <row r="55" spans="1:17" ht="25.05" customHeight="1">
      <c r="A55" s="16">
        <v>45323</v>
      </c>
      <c r="B55" s="17" t="s">
        <v>17</v>
      </c>
      <c r="C55" s="17" t="s">
        <v>69</v>
      </c>
      <c r="D55" s="18" t="s">
        <v>70</v>
      </c>
      <c r="E55" s="30">
        <f>LOOKUP(EOMONTH(A55,0),'출처 및 기준'!$A$34:$A$53,'출처 및 기준'!$B$34:$B$53)</f>
        <v>3.5000000000000003E-2</v>
      </c>
      <c r="F55" s="31">
        <v>2.6499999999999999E-2</v>
      </c>
      <c r="G55" s="32">
        <v>2.3700000000000002E-2</v>
      </c>
      <c r="H55" s="19">
        <f t="shared" si="3"/>
        <v>-0.28000000000000003</v>
      </c>
      <c r="I55" s="19">
        <f t="shared" si="4"/>
        <v>-0.85</v>
      </c>
      <c r="J55" s="19">
        <f t="shared" si="5"/>
        <v>-1.1299999999999999</v>
      </c>
      <c r="K55" s="65" t="s">
        <v>71</v>
      </c>
      <c r="L55" s="33"/>
      <c r="M55" s="34" t="s">
        <v>72</v>
      </c>
      <c r="N55" s="34" t="s">
        <v>22</v>
      </c>
      <c r="O55" s="34" t="s">
        <v>107</v>
      </c>
      <c r="P55" s="34" t="s">
        <v>49</v>
      </c>
      <c r="Q55" s="34" t="s">
        <v>94</v>
      </c>
    </row>
    <row r="56" spans="1:17" ht="25.05" customHeight="1">
      <c r="A56" s="26">
        <v>45292</v>
      </c>
      <c r="B56" s="27" t="s">
        <v>17</v>
      </c>
      <c r="C56" s="27" t="s">
        <v>69</v>
      </c>
      <c r="D56" s="28" t="s">
        <v>70</v>
      </c>
      <c r="E56" s="30">
        <f>LOOKUP(EOMONTH(A56,0),'출처 및 기준'!$A$34:$A$53,'출처 및 기준'!$B$34:$B$53)</f>
        <v>3.5000000000000003E-2</v>
      </c>
      <c r="F56" s="31">
        <v>2.69E-2</v>
      </c>
      <c r="G56" s="32">
        <v>2.4199999999999999E-2</v>
      </c>
      <c r="H56" s="19">
        <f t="shared" si="3"/>
        <v>-0.27</v>
      </c>
      <c r="I56" s="29">
        <f t="shared" si="4"/>
        <v>-0.81</v>
      </c>
      <c r="J56" s="29">
        <f t="shared" si="5"/>
        <v>-1.08</v>
      </c>
      <c r="K56" s="66" t="s">
        <v>71</v>
      </c>
      <c r="L56" s="35"/>
      <c r="M56" s="36" t="s">
        <v>72</v>
      </c>
      <c r="N56" s="36" t="s">
        <v>22</v>
      </c>
      <c r="O56" s="36" t="s">
        <v>108</v>
      </c>
      <c r="P56" s="36" t="s">
        <v>49</v>
      </c>
      <c r="Q56" s="36" t="s">
        <v>96</v>
      </c>
    </row>
    <row r="57" spans="1:17" ht="25.05" customHeight="1">
      <c r="A57" s="16">
        <v>45261</v>
      </c>
      <c r="B57" s="17" t="s">
        <v>17</v>
      </c>
      <c r="C57" s="17" t="s">
        <v>69</v>
      </c>
      <c r="D57" s="18" t="s">
        <v>70</v>
      </c>
      <c r="E57" s="30">
        <f>LOOKUP(EOMONTH(A57,0),'출처 및 기준'!$A$34:$A$53,'출처 및 기준'!$B$34:$B$53)</f>
        <v>3.5000000000000003E-2</v>
      </c>
      <c r="F57" s="31">
        <v>2.6800000000000001E-2</v>
      </c>
      <c r="G57" s="32">
        <v>2.4700000000000003E-2</v>
      </c>
      <c r="H57" s="19">
        <f t="shared" si="3"/>
        <v>-0.21</v>
      </c>
      <c r="I57" s="19">
        <f t="shared" si="4"/>
        <v>-0.82</v>
      </c>
      <c r="J57" s="19">
        <f t="shared" si="5"/>
        <v>-1.03</v>
      </c>
      <c r="K57" s="65" t="s">
        <v>71</v>
      </c>
      <c r="L57" s="33"/>
      <c r="M57" s="34" t="s">
        <v>72</v>
      </c>
      <c r="N57" s="34" t="s">
        <v>22</v>
      </c>
      <c r="O57" s="34" t="s">
        <v>109</v>
      </c>
      <c r="P57" s="34" t="s">
        <v>62</v>
      </c>
      <c r="Q57" s="34" t="s">
        <v>74</v>
      </c>
    </row>
    <row r="58" spans="1:17" ht="25.05" customHeight="1">
      <c r="A58" s="26">
        <v>45231</v>
      </c>
      <c r="B58" s="27" t="s">
        <v>17</v>
      </c>
      <c r="C58" s="27" t="s">
        <v>69</v>
      </c>
      <c r="D58" s="28" t="s">
        <v>70</v>
      </c>
      <c r="E58" s="30">
        <f>LOOKUP(EOMONTH(A58,0),'출처 및 기준'!$A$34:$A$53,'출처 및 기준'!$B$34:$B$53)</f>
        <v>3.5000000000000003E-2</v>
      </c>
      <c r="F58" s="31">
        <v>2.7300000000000001E-2</v>
      </c>
      <c r="G58" s="32">
        <v>2.52E-2</v>
      </c>
      <c r="H58" s="19">
        <f t="shared" si="3"/>
        <v>-0.21</v>
      </c>
      <c r="I58" s="29">
        <f t="shared" si="4"/>
        <v>-0.77</v>
      </c>
      <c r="J58" s="29">
        <f t="shared" si="5"/>
        <v>-0.98</v>
      </c>
      <c r="K58" s="66" t="s">
        <v>71</v>
      </c>
      <c r="L58" s="35"/>
      <c r="M58" s="36" t="s">
        <v>72</v>
      </c>
      <c r="N58" s="36" t="s">
        <v>22</v>
      </c>
      <c r="O58" s="36" t="s">
        <v>110</v>
      </c>
      <c r="P58" s="36" t="s">
        <v>62</v>
      </c>
      <c r="Q58" s="36" t="s">
        <v>76</v>
      </c>
    </row>
    <row r="59" spans="1:17" ht="25.05" customHeight="1">
      <c r="A59" s="16">
        <v>45200</v>
      </c>
      <c r="B59" s="17" t="s">
        <v>17</v>
      </c>
      <c r="C59" s="17" t="s">
        <v>69</v>
      </c>
      <c r="D59" s="18" t="s">
        <v>70</v>
      </c>
      <c r="E59" s="30">
        <f>LOOKUP(EOMONTH(A59,0),'출처 및 기준'!$A$34:$A$53,'출처 및 기준'!$B$34:$B$53)</f>
        <v>3.5000000000000003E-2</v>
      </c>
      <c r="F59" s="31">
        <v>2.7200000000000002E-2</v>
      </c>
      <c r="G59" s="32">
        <v>2.4799999999999999E-2</v>
      </c>
      <c r="H59" s="19">
        <f t="shared" si="3"/>
        <v>-0.24</v>
      </c>
      <c r="I59" s="19">
        <f t="shared" si="4"/>
        <v>-0.78</v>
      </c>
      <c r="J59" s="19">
        <f t="shared" si="5"/>
        <v>-1.02</v>
      </c>
      <c r="K59" s="65" t="s">
        <v>71</v>
      </c>
      <c r="L59" s="33"/>
      <c r="M59" s="34" t="s">
        <v>72</v>
      </c>
      <c r="N59" s="34" t="s">
        <v>22</v>
      </c>
      <c r="O59" s="34" t="s">
        <v>111</v>
      </c>
      <c r="P59" s="34" t="s">
        <v>62</v>
      </c>
      <c r="Q59" s="34" t="s">
        <v>78</v>
      </c>
    </row>
    <row r="60" spans="1:17" ht="25.05" customHeight="1">
      <c r="A60" s="26">
        <v>45170</v>
      </c>
      <c r="B60" s="27" t="s">
        <v>17</v>
      </c>
      <c r="C60" s="27" t="s">
        <v>69</v>
      </c>
      <c r="D60" s="28" t="s">
        <v>70</v>
      </c>
      <c r="E60" s="30">
        <f>LOOKUP(EOMONTH(A60,0),'출처 및 기준'!$A$34:$A$53,'출처 및 기준'!$B$34:$B$53)</f>
        <v>3.5000000000000003E-2</v>
      </c>
      <c r="F60" s="31">
        <v>2.6800000000000001E-2</v>
      </c>
      <c r="G60" s="32">
        <v>2.4799999999999999E-2</v>
      </c>
      <c r="H60" s="19">
        <f t="shared" si="3"/>
        <v>-0.2</v>
      </c>
      <c r="I60" s="29">
        <f t="shared" si="4"/>
        <v>-0.82</v>
      </c>
      <c r="J60" s="29">
        <f t="shared" si="5"/>
        <v>-1.02</v>
      </c>
      <c r="K60" s="66" t="s">
        <v>71</v>
      </c>
      <c r="L60" s="35"/>
      <c r="M60" s="36" t="s">
        <v>72</v>
      </c>
      <c r="N60" s="36" t="s">
        <v>22</v>
      </c>
      <c r="O60" s="36" t="s">
        <v>112</v>
      </c>
      <c r="P60" s="36" t="s">
        <v>62</v>
      </c>
      <c r="Q60" s="36" t="s">
        <v>80</v>
      </c>
    </row>
    <row r="61" spans="1:17" ht="25.05" customHeight="1">
      <c r="A61" s="16">
        <v>45139</v>
      </c>
      <c r="B61" s="17" t="s">
        <v>17</v>
      </c>
      <c r="C61" s="17" t="s">
        <v>69</v>
      </c>
      <c r="D61" s="18" t="s">
        <v>70</v>
      </c>
      <c r="E61" s="30">
        <f>LOOKUP(EOMONTH(A61,0),'출처 및 기준'!$A$34:$A$53,'출처 및 기준'!$B$34:$B$53)</f>
        <v>3.5000000000000003E-2</v>
      </c>
      <c r="F61" s="31">
        <v>2.6699999999999998E-2</v>
      </c>
      <c r="G61" s="32">
        <v>2.5000000000000001E-2</v>
      </c>
      <c r="H61" s="19">
        <f t="shared" si="3"/>
        <v>-0.17</v>
      </c>
      <c r="I61" s="19">
        <f t="shared" si="4"/>
        <v>-0.83</v>
      </c>
      <c r="J61" s="19">
        <f t="shared" si="5"/>
        <v>-1</v>
      </c>
      <c r="K61" s="65" t="s">
        <v>71</v>
      </c>
      <c r="L61" s="33"/>
      <c r="M61" s="34" t="s">
        <v>72</v>
      </c>
      <c r="N61" s="34" t="s">
        <v>22</v>
      </c>
      <c r="O61" s="34" t="s">
        <v>113</v>
      </c>
      <c r="P61" s="34" t="s">
        <v>62</v>
      </c>
      <c r="Q61" s="34" t="s">
        <v>82</v>
      </c>
    </row>
    <row r="62" spans="1:17" ht="25.05" customHeight="1">
      <c r="A62" s="26">
        <v>45108</v>
      </c>
      <c r="B62" s="27" t="s">
        <v>17</v>
      </c>
      <c r="C62" s="27" t="s">
        <v>69</v>
      </c>
      <c r="D62" s="28" t="s">
        <v>70</v>
      </c>
      <c r="E62" s="30">
        <f>LOOKUP(EOMONTH(A62,0),'출처 및 기준'!$A$34:$A$53,'출처 및 기준'!$B$34:$B$53)</f>
        <v>3.5000000000000003E-2</v>
      </c>
      <c r="F62" s="31">
        <v>2.64E-2</v>
      </c>
      <c r="G62" s="32">
        <v>2.4300000000000002E-2</v>
      </c>
      <c r="H62" s="19">
        <f t="shared" si="3"/>
        <v>-0.21</v>
      </c>
      <c r="I62" s="29">
        <f t="shared" si="4"/>
        <v>-0.86</v>
      </c>
      <c r="J62" s="29">
        <f t="shared" si="5"/>
        <v>-1.07</v>
      </c>
      <c r="K62" s="66" t="s">
        <v>71</v>
      </c>
      <c r="L62" s="35"/>
      <c r="M62" s="36" t="s">
        <v>72</v>
      </c>
      <c r="N62" s="36" t="s">
        <v>22</v>
      </c>
      <c r="O62" s="36" t="s">
        <v>114</v>
      </c>
      <c r="P62" s="36" t="s">
        <v>62</v>
      </c>
      <c r="Q62" s="36" t="s">
        <v>84</v>
      </c>
    </row>
    <row r="63" spans="1:17" ht="25.05" customHeight="1">
      <c r="A63" s="16">
        <v>45078</v>
      </c>
      <c r="B63" s="17" t="s">
        <v>17</v>
      </c>
      <c r="C63" s="17" t="s">
        <v>69</v>
      </c>
      <c r="D63" s="18" t="s">
        <v>70</v>
      </c>
      <c r="E63" s="30">
        <f>LOOKUP(EOMONTH(A63,0),'출처 및 기준'!$A$34:$A$53,'출처 및 기준'!$B$34:$B$53)</f>
        <v>3.5000000000000003E-2</v>
      </c>
      <c r="F63" s="31">
        <v>2.5899999999999999E-2</v>
      </c>
      <c r="G63" s="32">
        <v>2.3799999999999998E-2</v>
      </c>
      <c r="H63" s="19">
        <f t="shared" si="3"/>
        <v>-0.21</v>
      </c>
      <c r="I63" s="19">
        <f t="shared" si="4"/>
        <v>-0.91</v>
      </c>
      <c r="J63" s="19">
        <f t="shared" si="5"/>
        <v>-1.1200000000000001</v>
      </c>
      <c r="K63" s="65" t="s">
        <v>71</v>
      </c>
      <c r="L63" s="33"/>
      <c r="M63" s="34" t="s">
        <v>72</v>
      </c>
      <c r="N63" s="34" t="s">
        <v>22</v>
      </c>
      <c r="O63" s="34" t="s">
        <v>115</v>
      </c>
      <c r="P63" s="34" t="s">
        <v>62</v>
      </c>
      <c r="Q63" s="34" t="s">
        <v>86</v>
      </c>
    </row>
    <row r="64" spans="1:17" ht="25.05" customHeight="1">
      <c r="A64" s="56">
        <v>45992</v>
      </c>
      <c r="B64" s="60" t="s">
        <v>17</v>
      </c>
      <c r="C64" s="60" t="s">
        <v>116</v>
      </c>
      <c r="D64" s="61" t="s">
        <v>117</v>
      </c>
      <c r="E64" s="48">
        <f>LOOKUP(EOMONTH(A64,0),'출처 및 기준'!$A$34:$A$53,'출처 및 기준'!$B$34:$B$53)</f>
        <v>2.5000000000000001E-2</v>
      </c>
      <c r="F64" s="49">
        <v>4.2300000000000004E-2</v>
      </c>
      <c r="G64" s="50">
        <v>4.2500000000000003E-2</v>
      </c>
      <c r="H64" s="51">
        <f t="shared" si="3"/>
        <v>0.02</v>
      </c>
      <c r="I64" s="57">
        <f t="shared" si="4"/>
        <v>1.73</v>
      </c>
      <c r="J64" s="57">
        <f t="shared" si="5"/>
        <v>1.75</v>
      </c>
      <c r="K64" s="68" t="s">
        <v>118</v>
      </c>
      <c r="L64" s="58"/>
      <c r="M64" s="59" t="s">
        <v>119</v>
      </c>
      <c r="N64" s="59" t="s">
        <v>22</v>
      </c>
      <c r="O64" s="59" t="s">
        <v>120</v>
      </c>
      <c r="P64" s="59" t="s">
        <v>24</v>
      </c>
      <c r="Q64" s="59" t="s">
        <v>121</v>
      </c>
    </row>
    <row r="65" spans="1:17" ht="25.05" customHeight="1">
      <c r="A65" s="16">
        <v>45962</v>
      </c>
      <c r="B65" s="17" t="s">
        <v>17</v>
      </c>
      <c r="C65" s="17" t="s">
        <v>116</v>
      </c>
      <c r="D65" s="18" t="s">
        <v>117</v>
      </c>
      <c r="E65" s="30">
        <f>LOOKUP(EOMONTH(A65,0),'출처 및 기준'!$A$34:$A$53,'출처 및 기준'!$B$34:$B$53)</f>
        <v>2.5000000000000001E-2</v>
      </c>
      <c r="F65" s="31">
        <v>4.2099999999999999E-2</v>
      </c>
      <c r="G65" s="32">
        <v>4.24E-2</v>
      </c>
      <c r="H65" s="19">
        <f t="shared" si="3"/>
        <v>0.03</v>
      </c>
      <c r="I65" s="19">
        <f t="shared" si="4"/>
        <v>1.71</v>
      </c>
      <c r="J65" s="19">
        <f t="shared" si="5"/>
        <v>1.74</v>
      </c>
      <c r="K65" s="65" t="s">
        <v>118</v>
      </c>
      <c r="L65" s="33"/>
      <c r="M65" s="34" t="s">
        <v>119</v>
      </c>
      <c r="N65" s="34" t="s">
        <v>22</v>
      </c>
      <c r="O65" s="34" t="s">
        <v>122</v>
      </c>
      <c r="P65" s="34" t="s">
        <v>24</v>
      </c>
      <c r="Q65" s="34" t="s">
        <v>123</v>
      </c>
    </row>
    <row r="66" spans="1:17" ht="25.05" customHeight="1">
      <c r="A66" s="26">
        <v>45931</v>
      </c>
      <c r="B66" s="27" t="s">
        <v>17</v>
      </c>
      <c r="C66" s="27" t="s">
        <v>116</v>
      </c>
      <c r="D66" s="28" t="s">
        <v>117</v>
      </c>
      <c r="E66" s="30">
        <f>LOOKUP(EOMONTH(A66,0),'출처 및 기준'!$A$34:$A$53,'출처 및 기준'!$B$34:$B$53)</f>
        <v>2.5000000000000001E-2</v>
      </c>
      <c r="F66" s="31">
        <v>4.2099999999999999E-2</v>
      </c>
      <c r="G66" s="32">
        <v>4.2300000000000004E-2</v>
      </c>
      <c r="H66" s="19">
        <f t="shared" ref="H66:H97" si="6">IF(COUNT(F66:G66)=2,ROUND((G66-F66)*100,2),"")</f>
        <v>0.02</v>
      </c>
      <c r="I66" s="29">
        <f t="shared" ref="I66:I97" si="7">IF(COUNT(E66:F66)=2,ROUND((F66-E66)*100,2),"")</f>
        <v>1.71</v>
      </c>
      <c r="J66" s="29">
        <f t="shared" ref="J66:J97" si="8">IF(AND(ISNUMBER(E66),ISNUMBER(G66)),ROUND((G66-E66)*100,2),"")</f>
        <v>1.73</v>
      </c>
      <c r="K66" s="66" t="s">
        <v>118</v>
      </c>
      <c r="L66" s="35"/>
      <c r="M66" s="36" t="s">
        <v>119</v>
      </c>
      <c r="N66" s="36" t="s">
        <v>22</v>
      </c>
      <c r="O66" s="36" t="s">
        <v>124</v>
      </c>
      <c r="P66" s="36" t="s">
        <v>24</v>
      </c>
      <c r="Q66" s="36" t="s">
        <v>125</v>
      </c>
    </row>
    <row r="67" spans="1:17" ht="25.05" customHeight="1">
      <c r="A67" s="16">
        <v>45901</v>
      </c>
      <c r="B67" s="17" t="s">
        <v>17</v>
      </c>
      <c r="C67" s="17" t="s">
        <v>116</v>
      </c>
      <c r="D67" s="18" t="s">
        <v>117</v>
      </c>
      <c r="E67" s="30">
        <f>LOOKUP(EOMONTH(A67,0),'출처 및 기준'!$A$34:$A$53,'출처 및 기준'!$B$34:$B$53)</f>
        <v>2.5000000000000001E-2</v>
      </c>
      <c r="F67" s="31">
        <v>4.2300000000000004E-2</v>
      </c>
      <c r="G67" s="32">
        <v>4.2500000000000003E-2</v>
      </c>
      <c r="H67" s="19">
        <f t="shared" si="6"/>
        <v>0.02</v>
      </c>
      <c r="I67" s="19">
        <f t="shared" si="7"/>
        <v>1.73</v>
      </c>
      <c r="J67" s="19">
        <f t="shared" si="8"/>
        <v>1.75</v>
      </c>
      <c r="K67" s="65" t="s">
        <v>118</v>
      </c>
      <c r="L67" s="33"/>
      <c r="M67" s="34" t="s">
        <v>119</v>
      </c>
      <c r="N67" s="34" t="s">
        <v>22</v>
      </c>
      <c r="O67" s="34" t="s">
        <v>126</v>
      </c>
      <c r="P67" s="34" t="s">
        <v>24</v>
      </c>
      <c r="Q67" s="34" t="s">
        <v>127</v>
      </c>
    </row>
    <row r="68" spans="1:17" ht="25.05" customHeight="1">
      <c r="A68" s="26">
        <v>45870</v>
      </c>
      <c r="B68" s="27" t="s">
        <v>17</v>
      </c>
      <c r="C68" s="27" t="s">
        <v>116</v>
      </c>
      <c r="D68" s="28" t="s">
        <v>117</v>
      </c>
      <c r="E68" s="30">
        <f>LOOKUP(EOMONTH(A68,0),'출처 및 기준'!$A$34:$A$53,'출처 및 기준'!$B$34:$B$53)</f>
        <v>2.5000000000000001E-2</v>
      </c>
      <c r="F68" s="31">
        <v>4.2699999999999995E-2</v>
      </c>
      <c r="G68" s="32">
        <v>4.2900000000000001E-2</v>
      </c>
      <c r="H68" s="19">
        <f t="shared" si="6"/>
        <v>0.02</v>
      </c>
      <c r="I68" s="29">
        <f t="shared" si="7"/>
        <v>1.77</v>
      </c>
      <c r="J68" s="29">
        <f t="shared" si="8"/>
        <v>1.79</v>
      </c>
      <c r="K68" s="66" t="s">
        <v>118</v>
      </c>
      <c r="L68" s="35"/>
      <c r="M68" s="36" t="s">
        <v>119</v>
      </c>
      <c r="N68" s="36" t="s">
        <v>22</v>
      </c>
      <c r="O68" s="36" t="s">
        <v>128</v>
      </c>
      <c r="P68" s="36" t="s">
        <v>24</v>
      </c>
      <c r="Q68" s="36" t="s">
        <v>129</v>
      </c>
    </row>
    <row r="69" spans="1:17" ht="25.05" customHeight="1">
      <c r="A69" s="16">
        <v>45839</v>
      </c>
      <c r="B69" s="17" t="s">
        <v>17</v>
      </c>
      <c r="C69" s="17" t="s">
        <v>116</v>
      </c>
      <c r="D69" s="18" t="s">
        <v>117</v>
      </c>
      <c r="E69" s="30">
        <f>LOOKUP(EOMONTH(A69,0),'출처 및 기준'!$A$34:$A$53,'출처 및 기준'!$B$34:$B$53)</f>
        <v>2.5000000000000001E-2</v>
      </c>
      <c r="F69" s="31">
        <v>4.2999999999999997E-2</v>
      </c>
      <c r="G69" s="32">
        <v>4.3299999999999998E-2</v>
      </c>
      <c r="H69" s="19">
        <f t="shared" si="6"/>
        <v>0.03</v>
      </c>
      <c r="I69" s="19">
        <f t="shared" si="7"/>
        <v>1.8</v>
      </c>
      <c r="J69" s="19">
        <f t="shared" si="8"/>
        <v>1.83</v>
      </c>
      <c r="K69" s="65" t="s">
        <v>118</v>
      </c>
      <c r="L69" s="33"/>
      <c r="M69" s="34" t="s">
        <v>119</v>
      </c>
      <c r="N69" s="34" t="s">
        <v>22</v>
      </c>
      <c r="O69" s="34" t="s">
        <v>130</v>
      </c>
      <c r="P69" s="34" t="s">
        <v>24</v>
      </c>
      <c r="Q69" s="34" t="s">
        <v>131</v>
      </c>
    </row>
    <row r="70" spans="1:17" ht="25.05" customHeight="1">
      <c r="A70" s="26">
        <v>45809</v>
      </c>
      <c r="B70" s="27" t="s">
        <v>17</v>
      </c>
      <c r="C70" s="27" t="s">
        <v>116</v>
      </c>
      <c r="D70" s="28" t="s">
        <v>117</v>
      </c>
      <c r="E70" s="30">
        <f>LOOKUP(EOMONTH(A70,0),'출처 및 기준'!$A$34:$A$53,'출처 및 기준'!$B$34:$B$53)</f>
        <v>2.5000000000000001E-2</v>
      </c>
      <c r="F70" s="31">
        <v>4.3499999999999997E-2</v>
      </c>
      <c r="G70" s="32">
        <v>4.3799999999999999E-2</v>
      </c>
      <c r="H70" s="19">
        <f t="shared" si="6"/>
        <v>0.03</v>
      </c>
      <c r="I70" s="29">
        <f t="shared" si="7"/>
        <v>1.85</v>
      </c>
      <c r="J70" s="29">
        <f t="shared" si="8"/>
        <v>1.88</v>
      </c>
      <c r="K70" s="66" t="s">
        <v>118</v>
      </c>
      <c r="L70" s="35"/>
      <c r="M70" s="36" t="s">
        <v>119</v>
      </c>
      <c r="N70" s="36" t="s">
        <v>22</v>
      </c>
      <c r="O70" s="36" t="s">
        <v>132</v>
      </c>
      <c r="P70" s="36" t="s">
        <v>24</v>
      </c>
      <c r="Q70" s="36" t="s">
        <v>133</v>
      </c>
    </row>
    <row r="71" spans="1:17" ht="25.05" customHeight="1">
      <c r="A71" s="16">
        <v>45778</v>
      </c>
      <c r="B71" s="17" t="s">
        <v>17</v>
      </c>
      <c r="C71" s="17" t="s">
        <v>116</v>
      </c>
      <c r="D71" s="18" t="s">
        <v>117</v>
      </c>
      <c r="E71" s="30">
        <f>LOOKUP(EOMONTH(A71,0),'출처 및 기준'!$A$34:$A$53,'출처 및 기준'!$B$34:$B$53)</f>
        <v>2.5000000000000001E-2</v>
      </c>
      <c r="F71" s="31">
        <v>4.4199999999999996E-2</v>
      </c>
      <c r="G71" s="32">
        <v>4.4699999999999997E-2</v>
      </c>
      <c r="H71" s="19">
        <f t="shared" si="6"/>
        <v>0.05</v>
      </c>
      <c r="I71" s="19">
        <f t="shared" si="7"/>
        <v>1.92</v>
      </c>
      <c r="J71" s="19">
        <f t="shared" si="8"/>
        <v>1.97</v>
      </c>
      <c r="K71" s="65" t="s">
        <v>118</v>
      </c>
      <c r="L71" s="33"/>
      <c r="M71" s="34" t="s">
        <v>119</v>
      </c>
      <c r="N71" s="34" t="s">
        <v>22</v>
      </c>
      <c r="O71" s="34" t="s">
        <v>134</v>
      </c>
      <c r="P71" s="34" t="s">
        <v>24</v>
      </c>
      <c r="Q71" s="34" t="s">
        <v>135</v>
      </c>
    </row>
    <row r="72" spans="1:17" ht="25.05" customHeight="1">
      <c r="A72" s="26">
        <v>45748</v>
      </c>
      <c r="B72" s="27" t="s">
        <v>17</v>
      </c>
      <c r="C72" s="27" t="s">
        <v>116</v>
      </c>
      <c r="D72" s="28" t="s">
        <v>117</v>
      </c>
      <c r="E72" s="30">
        <f>LOOKUP(EOMONTH(A72,0),'출처 및 기준'!$A$34:$A$53,'출처 및 기준'!$B$34:$B$53)</f>
        <v>2.75E-2</v>
      </c>
      <c r="F72" s="31">
        <v>4.4800000000000006E-2</v>
      </c>
      <c r="G72" s="32">
        <v>4.53E-2</v>
      </c>
      <c r="H72" s="19">
        <f t="shared" si="6"/>
        <v>0.05</v>
      </c>
      <c r="I72" s="29">
        <f t="shared" si="7"/>
        <v>1.73</v>
      </c>
      <c r="J72" s="29">
        <f t="shared" si="8"/>
        <v>1.78</v>
      </c>
      <c r="K72" s="66" t="s">
        <v>118</v>
      </c>
      <c r="L72" s="35"/>
      <c r="M72" s="36" t="s">
        <v>119</v>
      </c>
      <c r="N72" s="36" t="s">
        <v>22</v>
      </c>
      <c r="O72" s="36" t="s">
        <v>136</v>
      </c>
      <c r="P72" s="36" t="s">
        <v>24</v>
      </c>
      <c r="Q72" s="36" t="s">
        <v>137</v>
      </c>
    </row>
    <row r="73" spans="1:17" ht="25.05" customHeight="1">
      <c r="A73" s="16">
        <v>45717</v>
      </c>
      <c r="B73" s="17" t="s">
        <v>17</v>
      </c>
      <c r="C73" s="17" t="s">
        <v>116</v>
      </c>
      <c r="D73" s="18" t="s">
        <v>117</v>
      </c>
      <c r="E73" s="30">
        <f>LOOKUP(EOMONTH(A73,0),'출처 및 기준'!$A$34:$A$53,'출처 및 기준'!$B$34:$B$53)</f>
        <v>2.75E-2</v>
      </c>
      <c r="F73" s="31">
        <v>4.5499999999999999E-2</v>
      </c>
      <c r="G73" s="32">
        <v>4.6100000000000002E-2</v>
      </c>
      <c r="H73" s="19">
        <f t="shared" si="6"/>
        <v>0.06</v>
      </c>
      <c r="I73" s="19">
        <f t="shared" si="7"/>
        <v>1.8</v>
      </c>
      <c r="J73" s="19">
        <f t="shared" si="8"/>
        <v>1.86</v>
      </c>
      <c r="K73" s="65" t="s">
        <v>118</v>
      </c>
      <c r="L73" s="33"/>
      <c r="M73" s="34" t="s">
        <v>119</v>
      </c>
      <c r="N73" s="34" t="s">
        <v>22</v>
      </c>
      <c r="O73" s="34" t="s">
        <v>138</v>
      </c>
      <c r="P73" s="34" t="s">
        <v>24</v>
      </c>
      <c r="Q73" s="34" t="s">
        <v>139</v>
      </c>
    </row>
    <row r="74" spans="1:17" ht="25.05" customHeight="1">
      <c r="A74" s="26">
        <v>45689</v>
      </c>
      <c r="B74" s="27" t="s">
        <v>17</v>
      </c>
      <c r="C74" s="27" t="s">
        <v>116</v>
      </c>
      <c r="D74" s="28" t="s">
        <v>117</v>
      </c>
      <c r="E74" s="30">
        <f>LOOKUP(EOMONTH(A74,0),'출처 및 기준'!$A$34:$A$53,'출처 및 기준'!$B$34:$B$53)</f>
        <v>2.75E-2</v>
      </c>
      <c r="F74" s="31">
        <v>4.6199999999999998E-2</v>
      </c>
      <c r="G74" s="32">
        <v>4.6900000000000004E-2</v>
      </c>
      <c r="H74" s="19">
        <f t="shared" si="6"/>
        <v>7.0000000000000007E-2</v>
      </c>
      <c r="I74" s="29">
        <f t="shared" si="7"/>
        <v>1.87</v>
      </c>
      <c r="J74" s="29">
        <f t="shared" si="8"/>
        <v>1.94</v>
      </c>
      <c r="K74" s="66" t="s">
        <v>118</v>
      </c>
      <c r="L74" s="35"/>
      <c r="M74" s="36" t="s">
        <v>119</v>
      </c>
      <c r="N74" s="36" t="s">
        <v>22</v>
      </c>
      <c r="O74" s="36" t="s">
        <v>140</v>
      </c>
      <c r="P74" s="36" t="s">
        <v>24</v>
      </c>
      <c r="Q74" s="36" t="s">
        <v>141</v>
      </c>
    </row>
    <row r="75" spans="1:17" ht="25.05" customHeight="1">
      <c r="A75" s="16">
        <v>45658</v>
      </c>
      <c r="B75" s="17" t="s">
        <v>17</v>
      </c>
      <c r="C75" s="17" t="s">
        <v>116</v>
      </c>
      <c r="D75" s="18" t="s">
        <v>117</v>
      </c>
      <c r="E75" s="30">
        <f>LOOKUP(EOMONTH(A75,0),'출처 및 기준'!$A$34:$A$53,'출처 및 기준'!$B$34:$B$53)</f>
        <v>0.03</v>
      </c>
      <c r="F75" s="31">
        <v>4.6799999999999994E-2</v>
      </c>
      <c r="G75" s="32">
        <v>4.7199999999999999E-2</v>
      </c>
      <c r="H75" s="19">
        <f t="shared" si="6"/>
        <v>0.04</v>
      </c>
      <c r="I75" s="19">
        <f t="shared" si="7"/>
        <v>1.68</v>
      </c>
      <c r="J75" s="19">
        <f t="shared" si="8"/>
        <v>1.72</v>
      </c>
      <c r="K75" s="65" t="s">
        <v>118</v>
      </c>
      <c r="L75" s="33"/>
      <c r="M75" s="34" t="s">
        <v>119</v>
      </c>
      <c r="N75" s="34" t="s">
        <v>22</v>
      </c>
      <c r="O75" s="34" t="s">
        <v>142</v>
      </c>
      <c r="P75" s="34" t="s">
        <v>24</v>
      </c>
      <c r="Q75" s="34" t="s">
        <v>143</v>
      </c>
    </row>
    <row r="76" spans="1:17" ht="25.05" customHeight="1">
      <c r="A76" s="26">
        <v>45627</v>
      </c>
      <c r="B76" s="27" t="s">
        <v>17</v>
      </c>
      <c r="C76" s="27" t="s">
        <v>116</v>
      </c>
      <c r="D76" s="28" t="s">
        <v>117</v>
      </c>
      <c r="E76" s="30">
        <f>LOOKUP(EOMONTH(A76,0),'출처 및 기준'!$A$34:$A$53,'출처 및 기준'!$B$34:$B$53)</f>
        <v>0.03</v>
      </c>
      <c r="F76" s="31">
        <v>4.7300000000000002E-2</v>
      </c>
      <c r="G76" s="32">
        <v>4.7699999999999992E-2</v>
      </c>
      <c r="H76" s="19">
        <f t="shared" si="6"/>
        <v>0.04</v>
      </c>
      <c r="I76" s="29">
        <f t="shared" si="7"/>
        <v>1.73</v>
      </c>
      <c r="J76" s="29">
        <f t="shared" si="8"/>
        <v>1.77</v>
      </c>
      <c r="K76" s="66" t="s">
        <v>118</v>
      </c>
      <c r="L76" s="35"/>
      <c r="M76" s="36" t="s">
        <v>119</v>
      </c>
      <c r="N76" s="36" t="s">
        <v>22</v>
      </c>
      <c r="O76" s="36" t="s">
        <v>144</v>
      </c>
      <c r="P76" s="36" t="s">
        <v>49</v>
      </c>
      <c r="Q76" s="36" t="s">
        <v>121</v>
      </c>
    </row>
    <row r="77" spans="1:17" ht="25.05" customHeight="1">
      <c r="A77" s="16">
        <v>45597</v>
      </c>
      <c r="B77" s="17" t="s">
        <v>17</v>
      </c>
      <c r="C77" s="17" t="s">
        <v>116</v>
      </c>
      <c r="D77" s="18" t="s">
        <v>117</v>
      </c>
      <c r="E77" s="30">
        <f>LOOKUP(EOMONTH(A77,0),'출처 및 기준'!$A$34:$A$53,'출처 및 기준'!$B$34:$B$53)</f>
        <v>0.03</v>
      </c>
      <c r="F77" s="31">
        <v>4.7699999999999992E-2</v>
      </c>
      <c r="G77" s="32">
        <v>4.8300000000000003E-2</v>
      </c>
      <c r="H77" s="19">
        <f t="shared" si="6"/>
        <v>0.06</v>
      </c>
      <c r="I77" s="19">
        <f t="shared" si="7"/>
        <v>1.77</v>
      </c>
      <c r="J77" s="19">
        <f t="shared" si="8"/>
        <v>1.83</v>
      </c>
      <c r="K77" s="65" t="s">
        <v>118</v>
      </c>
      <c r="L77" s="33"/>
      <c r="M77" s="34" t="s">
        <v>119</v>
      </c>
      <c r="N77" s="34" t="s">
        <v>22</v>
      </c>
      <c r="O77" s="34" t="s">
        <v>145</v>
      </c>
      <c r="P77" s="34" t="s">
        <v>49</v>
      </c>
      <c r="Q77" s="34" t="s">
        <v>123</v>
      </c>
    </row>
    <row r="78" spans="1:17" ht="25.05" customHeight="1">
      <c r="A78" s="26">
        <v>45566</v>
      </c>
      <c r="B78" s="27" t="s">
        <v>17</v>
      </c>
      <c r="C78" s="27" t="s">
        <v>116</v>
      </c>
      <c r="D78" s="28" t="s">
        <v>117</v>
      </c>
      <c r="E78" s="30">
        <f>LOOKUP(EOMONTH(A78,0),'출처 및 기준'!$A$34:$A$53,'출처 및 기준'!$B$34:$B$53)</f>
        <v>3.2500000000000001E-2</v>
      </c>
      <c r="F78" s="31">
        <v>4.7899999999999998E-2</v>
      </c>
      <c r="G78" s="32">
        <v>4.8600000000000004E-2</v>
      </c>
      <c r="H78" s="19">
        <f t="shared" si="6"/>
        <v>7.0000000000000007E-2</v>
      </c>
      <c r="I78" s="29">
        <f t="shared" si="7"/>
        <v>1.54</v>
      </c>
      <c r="J78" s="29">
        <f t="shared" si="8"/>
        <v>1.61</v>
      </c>
      <c r="K78" s="66" t="s">
        <v>118</v>
      </c>
      <c r="L78" s="35"/>
      <c r="M78" s="36" t="s">
        <v>119</v>
      </c>
      <c r="N78" s="36" t="s">
        <v>22</v>
      </c>
      <c r="O78" s="36" t="s">
        <v>146</v>
      </c>
      <c r="P78" s="36" t="s">
        <v>49</v>
      </c>
      <c r="Q78" s="36" t="s">
        <v>125</v>
      </c>
    </row>
    <row r="79" spans="1:17" ht="25.05" customHeight="1">
      <c r="A79" s="16">
        <v>45536</v>
      </c>
      <c r="B79" s="17" t="s">
        <v>17</v>
      </c>
      <c r="C79" s="17" t="s">
        <v>116</v>
      </c>
      <c r="D79" s="18" t="s">
        <v>117</v>
      </c>
      <c r="E79" s="30">
        <f>LOOKUP(EOMONTH(A79,0),'출처 및 기준'!$A$34:$A$53,'출처 및 기준'!$B$34:$B$53)</f>
        <v>3.5000000000000003E-2</v>
      </c>
      <c r="F79" s="31">
        <v>4.8300000000000003E-2</v>
      </c>
      <c r="G79" s="32">
        <v>4.9200000000000001E-2</v>
      </c>
      <c r="H79" s="19">
        <f t="shared" si="6"/>
        <v>0.09</v>
      </c>
      <c r="I79" s="19">
        <f t="shared" si="7"/>
        <v>1.33</v>
      </c>
      <c r="J79" s="19">
        <f t="shared" si="8"/>
        <v>1.42</v>
      </c>
      <c r="K79" s="65" t="s">
        <v>118</v>
      </c>
      <c r="L79" s="33"/>
      <c r="M79" s="34" t="s">
        <v>119</v>
      </c>
      <c r="N79" s="34" t="s">
        <v>22</v>
      </c>
      <c r="O79" s="34" t="s">
        <v>147</v>
      </c>
      <c r="P79" s="34" t="s">
        <v>49</v>
      </c>
      <c r="Q79" s="34" t="s">
        <v>127</v>
      </c>
    </row>
    <row r="80" spans="1:17" ht="25.05" customHeight="1">
      <c r="A80" s="26">
        <v>45505</v>
      </c>
      <c r="B80" s="27" t="s">
        <v>17</v>
      </c>
      <c r="C80" s="27" t="s">
        <v>116</v>
      </c>
      <c r="D80" s="28" t="s">
        <v>117</v>
      </c>
      <c r="E80" s="30">
        <f>LOOKUP(EOMONTH(A80,0),'출처 및 기준'!$A$34:$A$53,'출처 및 기준'!$B$34:$B$53)</f>
        <v>3.5000000000000003E-2</v>
      </c>
      <c r="F80" s="31">
        <v>4.87E-2</v>
      </c>
      <c r="G80" s="32">
        <v>4.99E-2</v>
      </c>
      <c r="H80" s="19">
        <f t="shared" si="6"/>
        <v>0.12</v>
      </c>
      <c r="I80" s="29">
        <f t="shared" si="7"/>
        <v>1.37</v>
      </c>
      <c r="J80" s="29">
        <f t="shared" si="8"/>
        <v>1.49</v>
      </c>
      <c r="K80" s="66" t="s">
        <v>118</v>
      </c>
      <c r="L80" s="35"/>
      <c r="M80" s="36" t="s">
        <v>119</v>
      </c>
      <c r="N80" s="36" t="s">
        <v>22</v>
      </c>
      <c r="O80" s="36" t="s">
        <v>148</v>
      </c>
      <c r="P80" s="36" t="s">
        <v>49</v>
      </c>
      <c r="Q80" s="36" t="s">
        <v>129</v>
      </c>
    </row>
    <row r="81" spans="1:17" ht="25.05" customHeight="1">
      <c r="A81" s="16">
        <v>45474</v>
      </c>
      <c r="B81" s="17" t="s">
        <v>17</v>
      </c>
      <c r="C81" s="17" t="s">
        <v>116</v>
      </c>
      <c r="D81" s="18" t="s">
        <v>117</v>
      </c>
      <c r="E81" s="30">
        <f>LOOKUP(EOMONTH(A81,0),'출처 및 기준'!$A$34:$A$53,'출처 및 기준'!$B$34:$B$53)</f>
        <v>3.5000000000000003E-2</v>
      </c>
      <c r="F81" s="31">
        <v>4.9200000000000001E-2</v>
      </c>
      <c r="G81" s="32">
        <v>5.04E-2</v>
      </c>
      <c r="H81" s="19">
        <f t="shared" si="6"/>
        <v>0.12</v>
      </c>
      <c r="I81" s="19">
        <f t="shared" si="7"/>
        <v>1.42</v>
      </c>
      <c r="J81" s="19">
        <f t="shared" si="8"/>
        <v>1.54</v>
      </c>
      <c r="K81" s="65" t="s">
        <v>118</v>
      </c>
      <c r="L81" s="33"/>
      <c r="M81" s="34" t="s">
        <v>119</v>
      </c>
      <c r="N81" s="34" t="s">
        <v>22</v>
      </c>
      <c r="O81" s="34" t="s">
        <v>149</v>
      </c>
      <c r="P81" s="34" t="s">
        <v>49</v>
      </c>
      <c r="Q81" s="34" t="s">
        <v>131</v>
      </c>
    </row>
    <row r="82" spans="1:17" ht="25.05" customHeight="1">
      <c r="A82" s="26">
        <v>45444</v>
      </c>
      <c r="B82" s="27" t="s">
        <v>17</v>
      </c>
      <c r="C82" s="27" t="s">
        <v>116</v>
      </c>
      <c r="D82" s="28" t="s">
        <v>117</v>
      </c>
      <c r="E82" s="30">
        <f>LOOKUP(EOMONTH(A82,0),'출처 및 기준'!$A$34:$A$53,'출처 및 기준'!$B$34:$B$53)</f>
        <v>3.5000000000000003E-2</v>
      </c>
      <c r="F82" s="31">
        <v>4.9599999999999998E-2</v>
      </c>
      <c r="G82" s="32">
        <v>5.0799999999999998E-2</v>
      </c>
      <c r="H82" s="19">
        <f t="shared" si="6"/>
        <v>0.12</v>
      </c>
      <c r="I82" s="29">
        <f t="shared" si="7"/>
        <v>1.46</v>
      </c>
      <c r="J82" s="29">
        <f t="shared" si="8"/>
        <v>1.58</v>
      </c>
      <c r="K82" s="66" t="s">
        <v>118</v>
      </c>
      <c r="L82" s="35"/>
      <c r="M82" s="36" t="s">
        <v>119</v>
      </c>
      <c r="N82" s="36" t="s">
        <v>22</v>
      </c>
      <c r="O82" s="36" t="s">
        <v>150</v>
      </c>
      <c r="P82" s="36" t="s">
        <v>49</v>
      </c>
      <c r="Q82" s="36" t="s">
        <v>133</v>
      </c>
    </row>
    <row r="83" spans="1:17" ht="25.05" customHeight="1">
      <c r="A83" s="16">
        <v>45413</v>
      </c>
      <c r="B83" s="17" t="s">
        <v>17</v>
      </c>
      <c r="C83" s="17" t="s">
        <v>116</v>
      </c>
      <c r="D83" s="18" t="s">
        <v>117</v>
      </c>
      <c r="E83" s="30">
        <f>LOOKUP(EOMONTH(A83,0),'출처 및 기준'!$A$34:$A$53,'출처 및 기준'!$B$34:$B$53)</f>
        <v>3.5000000000000003E-2</v>
      </c>
      <c r="F83" s="31">
        <v>5.0099999999999999E-2</v>
      </c>
      <c r="G83" s="32">
        <v>5.1299999999999998E-2</v>
      </c>
      <c r="H83" s="19">
        <f t="shared" si="6"/>
        <v>0.12</v>
      </c>
      <c r="I83" s="19">
        <f t="shared" si="7"/>
        <v>1.51</v>
      </c>
      <c r="J83" s="19">
        <f t="shared" si="8"/>
        <v>1.63</v>
      </c>
      <c r="K83" s="65" t="s">
        <v>118</v>
      </c>
      <c r="L83" s="33"/>
      <c r="M83" s="34" t="s">
        <v>119</v>
      </c>
      <c r="N83" s="34" t="s">
        <v>22</v>
      </c>
      <c r="O83" s="34" t="s">
        <v>151</v>
      </c>
      <c r="P83" s="34" t="s">
        <v>49</v>
      </c>
      <c r="Q83" s="34" t="s">
        <v>135</v>
      </c>
    </row>
    <row r="84" spans="1:17" ht="25.05" customHeight="1">
      <c r="A84" s="26">
        <v>45383</v>
      </c>
      <c r="B84" s="27" t="s">
        <v>17</v>
      </c>
      <c r="C84" s="27" t="s">
        <v>116</v>
      </c>
      <c r="D84" s="28" t="s">
        <v>117</v>
      </c>
      <c r="E84" s="30">
        <f>LOOKUP(EOMONTH(A84,0),'출처 및 기준'!$A$34:$A$53,'출처 및 기준'!$B$34:$B$53)</f>
        <v>3.5000000000000003E-2</v>
      </c>
      <c r="F84" s="31">
        <v>5.0499999999999996E-2</v>
      </c>
      <c r="G84" s="32">
        <v>5.1699999999999996E-2</v>
      </c>
      <c r="H84" s="19">
        <f t="shared" si="6"/>
        <v>0.12</v>
      </c>
      <c r="I84" s="29">
        <f t="shared" si="7"/>
        <v>1.55</v>
      </c>
      <c r="J84" s="29">
        <f t="shared" si="8"/>
        <v>1.67</v>
      </c>
      <c r="K84" s="66" t="s">
        <v>118</v>
      </c>
      <c r="L84" s="35"/>
      <c r="M84" s="36" t="s">
        <v>119</v>
      </c>
      <c r="N84" s="36" t="s">
        <v>22</v>
      </c>
      <c r="O84" s="36" t="s">
        <v>152</v>
      </c>
      <c r="P84" s="36" t="s">
        <v>49</v>
      </c>
      <c r="Q84" s="36" t="s">
        <v>137</v>
      </c>
    </row>
    <row r="85" spans="1:17" ht="25.05" customHeight="1">
      <c r="A85" s="16">
        <v>45352</v>
      </c>
      <c r="B85" s="17" t="s">
        <v>17</v>
      </c>
      <c r="C85" s="17" t="s">
        <v>116</v>
      </c>
      <c r="D85" s="18" t="s">
        <v>117</v>
      </c>
      <c r="E85" s="30">
        <f>LOOKUP(EOMONTH(A85,0),'출처 및 기준'!$A$34:$A$53,'출처 및 기준'!$B$34:$B$53)</f>
        <v>3.5000000000000003E-2</v>
      </c>
      <c r="F85" s="31">
        <v>5.0999999999999997E-2</v>
      </c>
      <c r="G85" s="32">
        <v>5.2400000000000002E-2</v>
      </c>
      <c r="H85" s="19">
        <f t="shared" si="6"/>
        <v>0.14000000000000001</v>
      </c>
      <c r="I85" s="19">
        <f t="shared" si="7"/>
        <v>1.6</v>
      </c>
      <c r="J85" s="19">
        <f t="shared" si="8"/>
        <v>1.74</v>
      </c>
      <c r="K85" s="65" t="s">
        <v>118</v>
      </c>
      <c r="L85" s="33"/>
      <c r="M85" s="34" t="s">
        <v>119</v>
      </c>
      <c r="N85" s="34" t="s">
        <v>22</v>
      </c>
      <c r="O85" s="34" t="s">
        <v>153</v>
      </c>
      <c r="P85" s="34" t="s">
        <v>49</v>
      </c>
      <c r="Q85" s="34" t="s">
        <v>139</v>
      </c>
    </row>
    <row r="86" spans="1:17" ht="25.05" customHeight="1">
      <c r="A86" s="26">
        <v>45323</v>
      </c>
      <c r="B86" s="27" t="s">
        <v>17</v>
      </c>
      <c r="C86" s="27" t="s">
        <v>116</v>
      </c>
      <c r="D86" s="28" t="s">
        <v>117</v>
      </c>
      <c r="E86" s="30">
        <f>LOOKUP(EOMONTH(A86,0),'출처 및 기준'!$A$34:$A$53,'출처 및 기준'!$B$34:$B$53)</f>
        <v>3.5000000000000003E-2</v>
      </c>
      <c r="F86" s="31">
        <v>5.1500000000000004E-2</v>
      </c>
      <c r="G86" s="32">
        <v>5.2900000000000003E-2</v>
      </c>
      <c r="H86" s="19">
        <f t="shared" si="6"/>
        <v>0.14000000000000001</v>
      </c>
      <c r="I86" s="29">
        <f t="shared" si="7"/>
        <v>1.65</v>
      </c>
      <c r="J86" s="29">
        <f t="shared" si="8"/>
        <v>1.79</v>
      </c>
      <c r="K86" s="66" t="s">
        <v>118</v>
      </c>
      <c r="L86" s="35"/>
      <c r="M86" s="36" t="s">
        <v>119</v>
      </c>
      <c r="N86" s="36" t="s">
        <v>22</v>
      </c>
      <c r="O86" s="36" t="s">
        <v>154</v>
      </c>
      <c r="P86" s="36" t="s">
        <v>49</v>
      </c>
      <c r="Q86" s="36" t="s">
        <v>141</v>
      </c>
    </row>
    <row r="87" spans="1:17" ht="25.05" customHeight="1">
      <c r="A87" s="16">
        <v>45292</v>
      </c>
      <c r="B87" s="17" t="s">
        <v>17</v>
      </c>
      <c r="C87" s="17" t="s">
        <v>116</v>
      </c>
      <c r="D87" s="18" t="s">
        <v>117</v>
      </c>
      <c r="E87" s="30">
        <f>LOOKUP(EOMONTH(A87,0),'출처 및 기준'!$A$34:$A$53,'출처 및 기준'!$B$34:$B$53)</f>
        <v>3.5000000000000003E-2</v>
      </c>
      <c r="F87" s="31">
        <v>5.1900000000000002E-2</v>
      </c>
      <c r="G87" s="32">
        <v>5.3399999999999996E-2</v>
      </c>
      <c r="H87" s="19">
        <f t="shared" si="6"/>
        <v>0.15</v>
      </c>
      <c r="I87" s="19">
        <f t="shared" si="7"/>
        <v>1.69</v>
      </c>
      <c r="J87" s="19">
        <f t="shared" si="8"/>
        <v>1.84</v>
      </c>
      <c r="K87" s="65" t="s">
        <v>118</v>
      </c>
      <c r="L87" s="33"/>
      <c r="M87" s="34" t="s">
        <v>119</v>
      </c>
      <c r="N87" s="34" t="s">
        <v>22</v>
      </c>
      <c r="O87" s="34" t="s">
        <v>155</v>
      </c>
      <c r="P87" s="34" t="s">
        <v>49</v>
      </c>
      <c r="Q87" s="34" t="s">
        <v>143</v>
      </c>
    </row>
    <row r="88" spans="1:17" ht="25.05" customHeight="1">
      <c r="A88" s="26">
        <v>45261</v>
      </c>
      <c r="B88" s="27" t="s">
        <v>17</v>
      </c>
      <c r="C88" s="27" t="s">
        <v>116</v>
      </c>
      <c r="D88" s="28" t="s">
        <v>117</v>
      </c>
      <c r="E88" s="30">
        <f>LOOKUP(EOMONTH(A88,0),'출처 및 기준'!$A$34:$A$53,'출처 및 기준'!$B$34:$B$53)</f>
        <v>3.5000000000000003E-2</v>
      </c>
      <c r="F88" s="31">
        <v>5.21E-2</v>
      </c>
      <c r="G88" s="32">
        <v>5.3600000000000002E-2</v>
      </c>
      <c r="H88" s="19">
        <f t="shared" si="6"/>
        <v>0.15</v>
      </c>
      <c r="I88" s="29">
        <f t="shared" si="7"/>
        <v>1.71</v>
      </c>
      <c r="J88" s="29">
        <f t="shared" si="8"/>
        <v>1.86</v>
      </c>
      <c r="K88" s="66" t="s">
        <v>118</v>
      </c>
      <c r="L88" s="35"/>
      <c r="M88" s="36" t="s">
        <v>119</v>
      </c>
      <c r="N88" s="36" t="s">
        <v>22</v>
      </c>
      <c r="O88" s="36" t="s">
        <v>156</v>
      </c>
      <c r="P88" s="36" t="s">
        <v>62</v>
      </c>
      <c r="Q88" s="36" t="s">
        <v>121</v>
      </c>
    </row>
    <row r="89" spans="1:17" ht="25.05" customHeight="1">
      <c r="A89" s="16">
        <v>45231</v>
      </c>
      <c r="B89" s="17" t="s">
        <v>17</v>
      </c>
      <c r="C89" s="17" t="s">
        <v>116</v>
      </c>
      <c r="D89" s="18" t="s">
        <v>117</v>
      </c>
      <c r="E89" s="30">
        <f>LOOKUP(EOMONTH(A89,0),'출처 및 기준'!$A$34:$A$53,'출처 및 기준'!$B$34:$B$53)</f>
        <v>3.5000000000000003E-2</v>
      </c>
      <c r="F89" s="31">
        <v>5.21E-2</v>
      </c>
      <c r="G89" s="32">
        <v>5.3600000000000002E-2</v>
      </c>
      <c r="H89" s="19">
        <f t="shared" si="6"/>
        <v>0.15</v>
      </c>
      <c r="I89" s="19">
        <f t="shared" si="7"/>
        <v>1.71</v>
      </c>
      <c r="J89" s="19">
        <f t="shared" si="8"/>
        <v>1.86</v>
      </c>
      <c r="K89" s="65" t="s">
        <v>118</v>
      </c>
      <c r="L89" s="33"/>
      <c r="M89" s="34" t="s">
        <v>119</v>
      </c>
      <c r="N89" s="34" t="s">
        <v>22</v>
      </c>
      <c r="O89" s="34" t="s">
        <v>157</v>
      </c>
      <c r="P89" s="34" t="s">
        <v>62</v>
      </c>
      <c r="Q89" s="34" t="s">
        <v>123</v>
      </c>
    </row>
    <row r="90" spans="1:17" ht="25.05" customHeight="1">
      <c r="A90" s="26">
        <v>45200</v>
      </c>
      <c r="B90" s="27" t="s">
        <v>17</v>
      </c>
      <c r="C90" s="27" t="s">
        <v>116</v>
      </c>
      <c r="D90" s="28" t="s">
        <v>117</v>
      </c>
      <c r="E90" s="30">
        <f>LOOKUP(EOMONTH(A90,0),'출처 및 기준'!$A$34:$A$53,'출처 및 기준'!$B$34:$B$53)</f>
        <v>3.5000000000000003E-2</v>
      </c>
      <c r="F90" s="31">
        <v>5.1900000000000002E-2</v>
      </c>
      <c r="G90" s="32">
        <v>5.3200000000000004E-2</v>
      </c>
      <c r="H90" s="19">
        <f t="shared" si="6"/>
        <v>0.13</v>
      </c>
      <c r="I90" s="29">
        <f t="shared" si="7"/>
        <v>1.69</v>
      </c>
      <c r="J90" s="29">
        <f t="shared" si="8"/>
        <v>1.82</v>
      </c>
      <c r="K90" s="66" t="s">
        <v>118</v>
      </c>
      <c r="L90" s="35"/>
      <c r="M90" s="36" t="s">
        <v>119</v>
      </c>
      <c r="N90" s="36" t="s">
        <v>22</v>
      </c>
      <c r="O90" s="36" t="s">
        <v>158</v>
      </c>
      <c r="P90" s="36" t="s">
        <v>62</v>
      </c>
      <c r="Q90" s="36" t="s">
        <v>125</v>
      </c>
    </row>
    <row r="91" spans="1:17" ht="25.05" customHeight="1">
      <c r="A91" s="16">
        <v>45170</v>
      </c>
      <c r="B91" s="17" t="s">
        <v>17</v>
      </c>
      <c r="C91" s="17" t="s">
        <v>116</v>
      </c>
      <c r="D91" s="18" t="s">
        <v>117</v>
      </c>
      <c r="E91" s="30">
        <f>LOOKUP(EOMONTH(A91,0),'출처 및 기준'!$A$34:$A$53,'출처 및 기준'!$B$34:$B$53)</f>
        <v>3.5000000000000003E-2</v>
      </c>
      <c r="F91" s="31">
        <v>5.1699999999999996E-2</v>
      </c>
      <c r="G91" s="32">
        <v>5.28E-2</v>
      </c>
      <c r="H91" s="19">
        <f t="shared" si="6"/>
        <v>0.11</v>
      </c>
      <c r="I91" s="19">
        <f t="shared" si="7"/>
        <v>1.67</v>
      </c>
      <c r="J91" s="19">
        <f t="shared" si="8"/>
        <v>1.78</v>
      </c>
      <c r="K91" s="65" t="s">
        <v>118</v>
      </c>
      <c r="L91" s="33"/>
      <c r="M91" s="34" t="s">
        <v>119</v>
      </c>
      <c r="N91" s="34" t="s">
        <v>22</v>
      </c>
      <c r="O91" s="34" t="s">
        <v>159</v>
      </c>
      <c r="P91" s="34" t="s">
        <v>62</v>
      </c>
      <c r="Q91" s="34" t="s">
        <v>127</v>
      </c>
    </row>
    <row r="92" spans="1:17" ht="25.05" customHeight="1">
      <c r="A92" s="26">
        <v>45139</v>
      </c>
      <c r="B92" s="27" t="s">
        <v>17</v>
      </c>
      <c r="C92" s="27" t="s">
        <v>116</v>
      </c>
      <c r="D92" s="28" t="s">
        <v>117</v>
      </c>
      <c r="E92" s="30">
        <f>LOOKUP(EOMONTH(A92,0),'출처 및 기준'!$A$34:$A$53,'출처 및 기준'!$B$34:$B$53)</f>
        <v>3.5000000000000003E-2</v>
      </c>
      <c r="F92" s="31">
        <v>5.1699999999999996E-2</v>
      </c>
      <c r="G92" s="32">
        <v>5.2600000000000001E-2</v>
      </c>
      <c r="H92" s="19">
        <f t="shared" si="6"/>
        <v>0.09</v>
      </c>
      <c r="I92" s="29">
        <f t="shared" si="7"/>
        <v>1.67</v>
      </c>
      <c r="J92" s="29">
        <f t="shared" si="8"/>
        <v>1.76</v>
      </c>
      <c r="K92" s="66" t="s">
        <v>118</v>
      </c>
      <c r="L92" s="35"/>
      <c r="M92" s="36" t="s">
        <v>119</v>
      </c>
      <c r="N92" s="36" t="s">
        <v>22</v>
      </c>
      <c r="O92" s="36" t="s">
        <v>160</v>
      </c>
      <c r="P92" s="36" t="s">
        <v>62</v>
      </c>
      <c r="Q92" s="36" t="s">
        <v>129</v>
      </c>
    </row>
    <row r="93" spans="1:17" ht="25.05" customHeight="1">
      <c r="A93" s="16">
        <v>45108</v>
      </c>
      <c r="B93" s="17" t="s">
        <v>17</v>
      </c>
      <c r="C93" s="17" t="s">
        <v>116</v>
      </c>
      <c r="D93" s="18" t="s">
        <v>117</v>
      </c>
      <c r="E93" s="30">
        <f>LOOKUP(EOMONTH(A93,0),'출처 및 기준'!$A$34:$A$53,'출처 및 기준'!$B$34:$B$53)</f>
        <v>3.5000000000000003E-2</v>
      </c>
      <c r="F93" s="31">
        <v>5.16E-2</v>
      </c>
      <c r="G93" s="32">
        <v>5.2499999999999998E-2</v>
      </c>
      <c r="H93" s="19">
        <f t="shared" si="6"/>
        <v>0.09</v>
      </c>
      <c r="I93" s="19">
        <f t="shared" si="7"/>
        <v>1.66</v>
      </c>
      <c r="J93" s="19">
        <f t="shared" si="8"/>
        <v>1.75</v>
      </c>
      <c r="K93" s="65" t="s">
        <v>118</v>
      </c>
      <c r="L93" s="33"/>
      <c r="M93" s="34" t="s">
        <v>119</v>
      </c>
      <c r="N93" s="34" t="s">
        <v>22</v>
      </c>
      <c r="O93" s="34" t="s">
        <v>161</v>
      </c>
      <c r="P93" s="34" t="s">
        <v>62</v>
      </c>
      <c r="Q93" s="34" t="s">
        <v>131</v>
      </c>
    </row>
    <row r="94" spans="1:17" ht="25.05" customHeight="1" thickBot="1">
      <c r="A94" s="26">
        <v>45078</v>
      </c>
      <c r="B94" s="27" t="s">
        <v>17</v>
      </c>
      <c r="C94" s="27" t="s">
        <v>116</v>
      </c>
      <c r="D94" s="28" t="s">
        <v>117</v>
      </c>
      <c r="E94" s="30">
        <f>LOOKUP(EOMONTH(A94,0),'출처 및 기준'!$A$34:$A$53,'출처 및 기준'!$B$34:$B$53)</f>
        <v>3.5000000000000003E-2</v>
      </c>
      <c r="F94" s="31">
        <v>5.1500000000000004E-2</v>
      </c>
      <c r="G94" s="32">
        <v>5.2300000000000006E-2</v>
      </c>
      <c r="H94" s="19">
        <f t="shared" si="6"/>
        <v>0.08</v>
      </c>
      <c r="I94" s="29">
        <f t="shared" si="7"/>
        <v>1.65</v>
      </c>
      <c r="J94" s="29">
        <f t="shared" si="8"/>
        <v>1.73</v>
      </c>
      <c r="K94" s="66" t="s">
        <v>118</v>
      </c>
      <c r="L94" s="35"/>
      <c r="M94" s="36" t="s">
        <v>119</v>
      </c>
      <c r="N94" s="36" t="s">
        <v>22</v>
      </c>
      <c r="O94" s="36" t="s">
        <v>162</v>
      </c>
      <c r="P94" s="36" t="s">
        <v>62</v>
      </c>
      <c r="Q94" s="36" t="s">
        <v>133</v>
      </c>
    </row>
    <row r="95" spans="1:17" ht="31.05" customHeight="1">
      <c r="A95" s="44">
        <v>45992</v>
      </c>
      <c r="B95" s="45" t="s">
        <v>163</v>
      </c>
      <c r="C95" s="45" t="s">
        <v>18</v>
      </c>
      <c r="D95" s="46" t="s">
        <v>19</v>
      </c>
      <c r="E95" s="37">
        <f>LOOKUP(EOMONTH(A95,0),'출처 및 기준'!$A$34:$A$53,'출처 및 기준'!$B$34:$B$53)</f>
        <v>2.5000000000000001E-2</v>
      </c>
      <c r="F95" s="38">
        <v>4.1599999999999998E-2</v>
      </c>
      <c r="G95" s="39">
        <v>4.2800000000000005E-2</v>
      </c>
      <c r="H95" s="40">
        <f t="shared" si="6"/>
        <v>0.12</v>
      </c>
      <c r="I95" s="40">
        <f t="shared" si="7"/>
        <v>1.66</v>
      </c>
      <c r="J95" s="40">
        <f t="shared" si="8"/>
        <v>1.78</v>
      </c>
      <c r="K95" s="69" t="s">
        <v>20</v>
      </c>
      <c r="L95" s="62"/>
      <c r="M95" s="63" t="s">
        <v>164</v>
      </c>
      <c r="N95" s="63" t="s">
        <v>22</v>
      </c>
      <c r="O95" s="63" t="s">
        <v>165</v>
      </c>
      <c r="P95" s="63" t="s">
        <v>166</v>
      </c>
      <c r="Q95" s="63" t="s">
        <v>25</v>
      </c>
    </row>
    <row r="96" spans="1:17" ht="25.05" customHeight="1">
      <c r="A96" s="26">
        <v>45962</v>
      </c>
      <c r="B96" s="27" t="s">
        <v>163</v>
      </c>
      <c r="C96" s="27" t="s">
        <v>18</v>
      </c>
      <c r="D96" s="28" t="s">
        <v>19</v>
      </c>
      <c r="E96" s="30">
        <f>LOOKUP(EOMONTH(A96,0),'출처 및 기준'!$A$34:$A$53,'출처 및 기준'!$B$34:$B$53)</f>
        <v>2.5000000000000001E-2</v>
      </c>
      <c r="F96" s="31">
        <v>4.0999999999999995E-2</v>
      </c>
      <c r="G96" s="32">
        <v>4.3099999999999999E-2</v>
      </c>
      <c r="H96" s="19">
        <f t="shared" si="6"/>
        <v>0.21</v>
      </c>
      <c r="I96" s="29">
        <f t="shared" si="7"/>
        <v>1.6</v>
      </c>
      <c r="J96" s="29">
        <f t="shared" si="8"/>
        <v>1.81</v>
      </c>
      <c r="K96" s="66" t="s">
        <v>20</v>
      </c>
      <c r="L96" s="35"/>
      <c r="M96" s="36" t="s">
        <v>164</v>
      </c>
      <c r="N96" s="36" t="s">
        <v>22</v>
      </c>
      <c r="O96" s="36" t="s">
        <v>167</v>
      </c>
      <c r="P96" s="36" t="s">
        <v>166</v>
      </c>
      <c r="Q96" s="36" t="s">
        <v>27</v>
      </c>
    </row>
    <row r="97" spans="1:17" ht="25.05" customHeight="1">
      <c r="A97" s="16">
        <v>45931</v>
      </c>
      <c r="B97" s="17" t="s">
        <v>163</v>
      </c>
      <c r="C97" s="17" t="s">
        <v>18</v>
      </c>
      <c r="D97" s="18" t="s">
        <v>19</v>
      </c>
      <c r="E97" s="30">
        <f>LOOKUP(EOMONTH(A97,0),'출처 및 기준'!$A$34:$A$53,'출처 및 기준'!$B$34:$B$53)</f>
        <v>2.5000000000000001E-2</v>
      </c>
      <c r="F97" s="31">
        <v>3.9599999999999996E-2</v>
      </c>
      <c r="G97" s="32">
        <v>4.2599999999999999E-2</v>
      </c>
      <c r="H97" s="19">
        <f t="shared" si="6"/>
        <v>0.3</v>
      </c>
      <c r="I97" s="19">
        <f t="shared" si="7"/>
        <v>1.46</v>
      </c>
      <c r="J97" s="19">
        <f t="shared" si="8"/>
        <v>1.76</v>
      </c>
      <c r="K97" s="65" t="s">
        <v>20</v>
      </c>
      <c r="L97" s="33"/>
      <c r="M97" s="34" t="s">
        <v>164</v>
      </c>
      <c r="N97" s="34" t="s">
        <v>22</v>
      </c>
      <c r="O97" s="34" t="s">
        <v>168</v>
      </c>
      <c r="P97" s="34" t="s">
        <v>166</v>
      </c>
      <c r="Q97" s="34" t="s">
        <v>29</v>
      </c>
    </row>
    <row r="98" spans="1:17" ht="25.05" customHeight="1">
      <c r="A98" s="26">
        <v>45901</v>
      </c>
      <c r="B98" s="27" t="s">
        <v>163</v>
      </c>
      <c r="C98" s="27" t="s">
        <v>18</v>
      </c>
      <c r="D98" s="28" t="s">
        <v>19</v>
      </c>
      <c r="E98" s="30">
        <f>LOOKUP(EOMONTH(A98,0),'출처 및 기준'!$A$34:$A$53,'출처 및 기준'!$B$34:$B$53)</f>
        <v>2.5000000000000001E-2</v>
      </c>
      <c r="F98" s="31">
        <v>3.9900000000000005E-2</v>
      </c>
      <c r="G98" s="32">
        <v>4.3200000000000002E-2</v>
      </c>
      <c r="H98" s="19">
        <f t="shared" ref="H98:H129" si="9">IF(COUNT(F98:G98)=2,ROUND((G98-F98)*100,2),"")</f>
        <v>0.33</v>
      </c>
      <c r="I98" s="29">
        <f t="shared" ref="I98:I129" si="10">IF(COUNT(E98:F98)=2,ROUND((F98-E98)*100,2),"")</f>
        <v>1.49</v>
      </c>
      <c r="J98" s="29">
        <f t="shared" ref="J98:J129" si="11">IF(AND(ISNUMBER(E98),ISNUMBER(G98)),ROUND((G98-E98)*100,2),"")</f>
        <v>1.82</v>
      </c>
      <c r="K98" s="66" t="s">
        <v>20</v>
      </c>
      <c r="L98" s="35"/>
      <c r="M98" s="36" t="s">
        <v>164</v>
      </c>
      <c r="N98" s="36" t="s">
        <v>22</v>
      </c>
      <c r="O98" s="36" t="s">
        <v>169</v>
      </c>
      <c r="P98" s="36" t="s">
        <v>166</v>
      </c>
      <c r="Q98" s="36" t="s">
        <v>31</v>
      </c>
    </row>
    <row r="99" spans="1:17" ht="25.05" customHeight="1">
      <c r="A99" s="16">
        <v>45870</v>
      </c>
      <c r="B99" s="17" t="s">
        <v>163</v>
      </c>
      <c r="C99" s="17" t="s">
        <v>18</v>
      </c>
      <c r="D99" s="18" t="s">
        <v>19</v>
      </c>
      <c r="E99" s="30">
        <f>LOOKUP(EOMONTH(A99,0),'출처 및 기준'!$A$34:$A$53,'출처 및 기준'!$B$34:$B$53)</f>
        <v>2.5000000000000001E-2</v>
      </c>
      <c r="F99" s="31">
        <v>4.0300000000000002E-2</v>
      </c>
      <c r="G99" s="32">
        <v>4.3400000000000001E-2</v>
      </c>
      <c r="H99" s="19">
        <f t="shared" si="9"/>
        <v>0.31</v>
      </c>
      <c r="I99" s="19">
        <f t="shared" si="10"/>
        <v>1.53</v>
      </c>
      <c r="J99" s="19">
        <f t="shared" si="11"/>
        <v>1.84</v>
      </c>
      <c r="K99" s="65" t="s">
        <v>20</v>
      </c>
      <c r="L99" s="33"/>
      <c r="M99" s="34" t="s">
        <v>164</v>
      </c>
      <c r="N99" s="34" t="s">
        <v>22</v>
      </c>
      <c r="O99" s="34" t="s">
        <v>170</v>
      </c>
      <c r="P99" s="34" t="s">
        <v>166</v>
      </c>
      <c r="Q99" s="34" t="s">
        <v>33</v>
      </c>
    </row>
    <row r="100" spans="1:17" ht="25.05" customHeight="1">
      <c r="A100" s="26">
        <v>45839</v>
      </c>
      <c r="B100" s="27" t="s">
        <v>163</v>
      </c>
      <c r="C100" s="27" t="s">
        <v>18</v>
      </c>
      <c r="D100" s="28" t="s">
        <v>19</v>
      </c>
      <c r="E100" s="30">
        <f>LOOKUP(EOMONTH(A100,0),'출처 및 기준'!$A$34:$A$53,'출처 및 기준'!$B$34:$B$53)</f>
        <v>2.5000000000000001E-2</v>
      </c>
      <c r="F100" s="31">
        <v>4.0399999999999998E-2</v>
      </c>
      <c r="G100" s="32">
        <v>4.1100000000000005E-2</v>
      </c>
      <c r="H100" s="19">
        <f t="shared" si="9"/>
        <v>7.0000000000000007E-2</v>
      </c>
      <c r="I100" s="29">
        <f t="shared" si="10"/>
        <v>1.54</v>
      </c>
      <c r="J100" s="29">
        <f t="shared" si="11"/>
        <v>1.61</v>
      </c>
      <c r="K100" s="66" t="s">
        <v>20</v>
      </c>
      <c r="L100" s="35"/>
      <c r="M100" s="36" t="s">
        <v>164</v>
      </c>
      <c r="N100" s="36" t="s">
        <v>22</v>
      </c>
      <c r="O100" s="36" t="s">
        <v>171</v>
      </c>
      <c r="P100" s="36" t="s">
        <v>166</v>
      </c>
      <c r="Q100" s="36" t="s">
        <v>35</v>
      </c>
    </row>
    <row r="101" spans="1:17" ht="25.05" customHeight="1">
      <c r="A101" s="16">
        <v>45809</v>
      </c>
      <c r="B101" s="17" t="s">
        <v>163</v>
      </c>
      <c r="C101" s="17" t="s">
        <v>18</v>
      </c>
      <c r="D101" s="18" t="s">
        <v>19</v>
      </c>
      <c r="E101" s="30">
        <f>LOOKUP(EOMONTH(A101,0),'출처 및 기준'!$A$34:$A$53,'출처 및 기준'!$B$34:$B$53)</f>
        <v>2.5000000000000001E-2</v>
      </c>
      <c r="F101" s="31">
        <v>4.0599999999999997E-2</v>
      </c>
      <c r="G101" s="32">
        <v>4.2599999999999999E-2</v>
      </c>
      <c r="H101" s="19">
        <f t="shared" si="9"/>
        <v>0.2</v>
      </c>
      <c r="I101" s="19">
        <f t="shared" si="10"/>
        <v>1.56</v>
      </c>
      <c r="J101" s="19">
        <f t="shared" si="11"/>
        <v>1.76</v>
      </c>
      <c r="K101" s="65" t="s">
        <v>20</v>
      </c>
      <c r="L101" s="33"/>
      <c r="M101" s="34" t="s">
        <v>164</v>
      </c>
      <c r="N101" s="34" t="s">
        <v>22</v>
      </c>
      <c r="O101" s="34" t="s">
        <v>172</v>
      </c>
      <c r="P101" s="34" t="s">
        <v>166</v>
      </c>
      <c r="Q101" s="34" t="s">
        <v>37</v>
      </c>
    </row>
    <row r="102" spans="1:17" ht="25.05" customHeight="1">
      <c r="A102" s="26">
        <v>45778</v>
      </c>
      <c r="B102" s="27" t="s">
        <v>163</v>
      </c>
      <c r="C102" s="27" t="s">
        <v>18</v>
      </c>
      <c r="D102" s="28" t="s">
        <v>19</v>
      </c>
      <c r="E102" s="30">
        <f>LOOKUP(EOMONTH(A102,0),'출처 및 기준'!$A$34:$A$53,'출처 및 기준'!$B$34:$B$53)</f>
        <v>2.5000000000000001E-2</v>
      </c>
      <c r="F102" s="31">
        <v>4.1599999999999998E-2</v>
      </c>
      <c r="G102" s="32">
        <v>4.2900000000000001E-2</v>
      </c>
      <c r="H102" s="19">
        <f t="shared" si="9"/>
        <v>0.13</v>
      </c>
      <c r="I102" s="29">
        <f t="shared" si="10"/>
        <v>1.66</v>
      </c>
      <c r="J102" s="29">
        <f t="shared" si="11"/>
        <v>1.79</v>
      </c>
      <c r="K102" s="66" t="s">
        <v>20</v>
      </c>
      <c r="L102" s="35"/>
      <c r="M102" s="36" t="s">
        <v>164</v>
      </c>
      <c r="N102" s="36" t="s">
        <v>22</v>
      </c>
      <c r="O102" s="36" t="s">
        <v>173</v>
      </c>
      <c r="P102" s="36" t="s">
        <v>166</v>
      </c>
      <c r="Q102" s="36" t="s">
        <v>39</v>
      </c>
    </row>
    <row r="103" spans="1:17" ht="25.05" customHeight="1">
      <c r="A103" s="16">
        <v>45748</v>
      </c>
      <c r="B103" s="17" t="s">
        <v>163</v>
      </c>
      <c r="C103" s="17" t="s">
        <v>18</v>
      </c>
      <c r="D103" s="18" t="s">
        <v>19</v>
      </c>
      <c r="E103" s="30">
        <f>LOOKUP(EOMONTH(A103,0),'출처 및 기준'!$A$34:$A$53,'출처 및 기준'!$B$34:$B$53)</f>
        <v>2.75E-2</v>
      </c>
      <c r="F103" s="31">
        <v>4.1399999999999999E-2</v>
      </c>
      <c r="G103" s="32">
        <v>4.4500000000000005E-2</v>
      </c>
      <c r="H103" s="19">
        <f t="shared" si="9"/>
        <v>0.31</v>
      </c>
      <c r="I103" s="19">
        <f t="shared" si="10"/>
        <v>1.39</v>
      </c>
      <c r="J103" s="19">
        <f t="shared" si="11"/>
        <v>1.7</v>
      </c>
      <c r="K103" s="65" t="s">
        <v>20</v>
      </c>
      <c r="L103" s="33"/>
      <c r="M103" s="34" t="s">
        <v>164</v>
      </c>
      <c r="N103" s="34" t="s">
        <v>22</v>
      </c>
      <c r="O103" s="34" t="s">
        <v>174</v>
      </c>
      <c r="P103" s="34" t="s">
        <v>166</v>
      </c>
      <c r="Q103" s="34" t="s">
        <v>41</v>
      </c>
    </row>
    <row r="104" spans="1:17" ht="25.05" customHeight="1">
      <c r="A104" s="26">
        <v>45717</v>
      </c>
      <c r="B104" s="27" t="s">
        <v>163</v>
      </c>
      <c r="C104" s="27" t="s">
        <v>18</v>
      </c>
      <c r="D104" s="28" t="s">
        <v>19</v>
      </c>
      <c r="E104" s="30">
        <f>LOOKUP(EOMONTH(A104,0),'출처 및 기준'!$A$34:$A$53,'출처 및 기준'!$B$34:$B$53)</f>
        <v>2.75E-2</v>
      </c>
      <c r="F104" s="31">
        <v>4.3200000000000002E-2</v>
      </c>
      <c r="G104" s="32">
        <v>4.5499999999999999E-2</v>
      </c>
      <c r="H104" s="19">
        <f t="shared" si="9"/>
        <v>0.23</v>
      </c>
      <c r="I104" s="29">
        <f t="shared" si="10"/>
        <v>1.57</v>
      </c>
      <c r="J104" s="29">
        <f t="shared" si="11"/>
        <v>1.8</v>
      </c>
      <c r="K104" s="66" t="s">
        <v>20</v>
      </c>
      <c r="L104" s="35"/>
      <c r="M104" s="36" t="s">
        <v>164</v>
      </c>
      <c r="N104" s="36" t="s">
        <v>22</v>
      </c>
      <c r="O104" s="36" t="s">
        <v>175</v>
      </c>
      <c r="P104" s="36" t="s">
        <v>166</v>
      </c>
      <c r="Q104" s="36" t="s">
        <v>43</v>
      </c>
    </row>
    <row r="105" spans="1:17" ht="25.05" customHeight="1">
      <c r="A105" s="16">
        <v>45689</v>
      </c>
      <c r="B105" s="17" t="s">
        <v>163</v>
      </c>
      <c r="C105" s="17" t="s">
        <v>18</v>
      </c>
      <c r="D105" s="18" t="s">
        <v>19</v>
      </c>
      <c r="E105" s="30">
        <f>LOOKUP(EOMONTH(A105,0),'출처 및 기준'!$A$34:$A$53,'출처 및 기준'!$B$34:$B$53)</f>
        <v>2.75E-2</v>
      </c>
      <c r="F105" s="31">
        <v>4.4299999999999999E-2</v>
      </c>
      <c r="G105" s="32">
        <v>4.5999999999999999E-2</v>
      </c>
      <c r="H105" s="19">
        <f t="shared" si="9"/>
        <v>0.17</v>
      </c>
      <c r="I105" s="19">
        <f t="shared" si="10"/>
        <v>1.68</v>
      </c>
      <c r="J105" s="19">
        <f t="shared" si="11"/>
        <v>1.85</v>
      </c>
      <c r="K105" s="65" t="s">
        <v>20</v>
      </c>
      <c r="L105" s="33"/>
      <c r="M105" s="34" t="s">
        <v>164</v>
      </c>
      <c r="N105" s="34" t="s">
        <v>22</v>
      </c>
      <c r="O105" s="34" t="s">
        <v>176</v>
      </c>
      <c r="P105" s="34" t="s">
        <v>166</v>
      </c>
      <c r="Q105" s="34" t="s">
        <v>45</v>
      </c>
    </row>
    <row r="106" spans="1:17" ht="25.05" customHeight="1">
      <c r="A106" s="26">
        <v>45658</v>
      </c>
      <c r="B106" s="27" t="s">
        <v>163</v>
      </c>
      <c r="C106" s="27" t="s">
        <v>18</v>
      </c>
      <c r="D106" s="28" t="s">
        <v>19</v>
      </c>
      <c r="E106" s="30">
        <f>LOOKUP(EOMONTH(A106,0),'출처 및 기준'!$A$34:$A$53,'출처 및 기준'!$B$34:$B$53)</f>
        <v>0.03</v>
      </c>
      <c r="F106" s="31">
        <v>4.4999999999999998E-2</v>
      </c>
      <c r="G106" s="32">
        <v>4.7E-2</v>
      </c>
      <c r="H106" s="19">
        <f t="shared" si="9"/>
        <v>0.2</v>
      </c>
      <c r="I106" s="29">
        <f t="shared" si="10"/>
        <v>1.5</v>
      </c>
      <c r="J106" s="29">
        <f t="shared" si="11"/>
        <v>1.7</v>
      </c>
      <c r="K106" s="66" t="s">
        <v>20</v>
      </c>
      <c r="L106" s="35"/>
      <c r="M106" s="36" t="s">
        <v>164</v>
      </c>
      <c r="N106" s="36" t="s">
        <v>22</v>
      </c>
      <c r="O106" s="36" t="s">
        <v>177</v>
      </c>
      <c r="P106" s="36" t="s">
        <v>166</v>
      </c>
      <c r="Q106" s="36" t="s">
        <v>47</v>
      </c>
    </row>
    <row r="107" spans="1:17" ht="25.05" customHeight="1">
      <c r="A107" s="16">
        <v>45627</v>
      </c>
      <c r="B107" s="17" t="s">
        <v>163</v>
      </c>
      <c r="C107" s="17" t="s">
        <v>18</v>
      </c>
      <c r="D107" s="18" t="s">
        <v>19</v>
      </c>
      <c r="E107" s="30">
        <f>LOOKUP(EOMONTH(A107,0),'출처 및 기준'!$A$34:$A$53,'출처 및 기준'!$B$34:$B$53)</f>
        <v>0.03</v>
      </c>
      <c r="F107" s="31">
        <v>4.6199999999999998E-2</v>
      </c>
      <c r="G107" s="32">
        <v>4.9200000000000001E-2</v>
      </c>
      <c r="H107" s="19">
        <f t="shared" si="9"/>
        <v>0.3</v>
      </c>
      <c r="I107" s="19">
        <f t="shared" si="10"/>
        <v>1.62</v>
      </c>
      <c r="J107" s="19">
        <f t="shared" si="11"/>
        <v>1.92</v>
      </c>
      <c r="K107" s="65" t="s">
        <v>20</v>
      </c>
      <c r="L107" s="33"/>
      <c r="M107" s="34" t="s">
        <v>164</v>
      </c>
      <c r="N107" s="34" t="s">
        <v>22</v>
      </c>
      <c r="O107" s="34" t="s">
        <v>178</v>
      </c>
      <c r="P107" s="34" t="s">
        <v>179</v>
      </c>
      <c r="Q107" s="34" t="s">
        <v>25</v>
      </c>
    </row>
    <row r="108" spans="1:17" ht="25.05" customHeight="1">
      <c r="A108" s="26">
        <v>45597</v>
      </c>
      <c r="B108" s="27" t="s">
        <v>163</v>
      </c>
      <c r="C108" s="27" t="s">
        <v>18</v>
      </c>
      <c r="D108" s="28" t="s">
        <v>19</v>
      </c>
      <c r="E108" s="30">
        <f>LOOKUP(EOMONTH(A108,0),'출처 및 기준'!$A$34:$A$53,'출처 및 기준'!$B$34:$B$53)</f>
        <v>0.03</v>
      </c>
      <c r="F108" s="31">
        <v>4.7599999999999996E-2</v>
      </c>
      <c r="G108" s="32">
        <v>4.9100000000000005E-2</v>
      </c>
      <c r="H108" s="19">
        <f t="shared" si="9"/>
        <v>0.15</v>
      </c>
      <c r="I108" s="29">
        <f t="shared" si="10"/>
        <v>1.76</v>
      </c>
      <c r="J108" s="29">
        <f t="shared" si="11"/>
        <v>1.91</v>
      </c>
      <c r="K108" s="66" t="s">
        <v>20</v>
      </c>
      <c r="L108" s="35"/>
      <c r="M108" s="36" t="s">
        <v>164</v>
      </c>
      <c r="N108" s="36" t="s">
        <v>22</v>
      </c>
      <c r="O108" s="36" t="s">
        <v>180</v>
      </c>
      <c r="P108" s="36" t="s">
        <v>179</v>
      </c>
      <c r="Q108" s="36" t="s">
        <v>27</v>
      </c>
    </row>
    <row r="109" spans="1:17" ht="25.05" customHeight="1">
      <c r="A109" s="16">
        <v>45566</v>
      </c>
      <c r="B109" s="17" t="s">
        <v>163</v>
      </c>
      <c r="C109" s="17" t="s">
        <v>18</v>
      </c>
      <c r="D109" s="18" t="s">
        <v>19</v>
      </c>
      <c r="E109" s="30">
        <f>LOOKUP(EOMONTH(A109,0),'출처 및 기준'!$A$34:$A$53,'출처 및 기준'!$B$34:$B$53)</f>
        <v>3.2500000000000001E-2</v>
      </c>
      <c r="F109" s="31">
        <v>4.7100000000000003E-2</v>
      </c>
      <c r="G109" s="32">
        <v>5.0099999999999999E-2</v>
      </c>
      <c r="H109" s="19">
        <f t="shared" si="9"/>
        <v>0.3</v>
      </c>
      <c r="I109" s="19">
        <f t="shared" si="10"/>
        <v>1.46</v>
      </c>
      <c r="J109" s="19">
        <f t="shared" si="11"/>
        <v>1.76</v>
      </c>
      <c r="K109" s="65" t="s">
        <v>20</v>
      </c>
      <c r="L109" s="33"/>
      <c r="M109" s="34" t="s">
        <v>164</v>
      </c>
      <c r="N109" s="34" t="s">
        <v>22</v>
      </c>
      <c r="O109" s="34" t="s">
        <v>181</v>
      </c>
      <c r="P109" s="34" t="s">
        <v>179</v>
      </c>
      <c r="Q109" s="34" t="s">
        <v>29</v>
      </c>
    </row>
    <row r="110" spans="1:17" ht="25.05" customHeight="1">
      <c r="A110" s="26">
        <v>45536</v>
      </c>
      <c r="B110" s="27" t="s">
        <v>163</v>
      </c>
      <c r="C110" s="27" t="s">
        <v>18</v>
      </c>
      <c r="D110" s="28" t="s">
        <v>19</v>
      </c>
      <c r="E110" s="30">
        <f>LOOKUP(EOMONTH(A110,0),'출처 및 기준'!$A$34:$A$53,'출처 및 기준'!$B$34:$B$53)</f>
        <v>3.5000000000000003E-2</v>
      </c>
      <c r="F110" s="31">
        <v>4.7699999999999992E-2</v>
      </c>
      <c r="G110" s="32">
        <v>5.0300000000000004E-2</v>
      </c>
      <c r="H110" s="19">
        <f t="shared" si="9"/>
        <v>0.26</v>
      </c>
      <c r="I110" s="29">
        <f t="shared" si="10"/>
        <v>1.27</v>
      </c>
      <c r="J110" s="29">
        <f t="shared" si="11"/>
        <v>1.53</v>
      </c>
      <c r="K110" s="66" t="s">
        <v>20</v>
      </c>
      <c r="L110" s="35"/>
      <c r="M110" s="36" t="s">
        <v>164</v>
      </c>
      <c r="N110" s="36" t="s">
        <v>22</v>
      </c>
      <c r="O110" s="36" t="s">
        <v>182</v>
      </c>
      <c r="P110" s="36" t="s">
        <v>179</v>
      </c>
      <c r="Q110" s="36" t="s">
        <v>31</v>
      </c>
    </row>
    <row r="111" spans="1:17" ht="25.05" customHeight="1">
      <c r="A111" s="16">
        <v>45505</v>
      </c>
      <c r="B111" s="17" t="s">
        <v>163</v>
      </c>
      <c r="C111" s="17" t="s">
        <v>18</v>
      </c>
      <c r="D111" s="18" t="s">
        <v>19</v>
      </c>
      <c r="E111" s="30">
        <f>LOOKUP(EOMONTH(A111,0),'출처 및 기준'!$A$34:$A$53,'출처 및 기준'!$B$34:$B$53)</f>
        <v>3.5000000000000003E-2</v>
      </c>
      <c r="F111" s="31">
        <v>4.6699999999999998E-2</v>
      </c>
      <c r="G111" s="32">
        <v>5.0499999999999996E-2</v>
      </c>
      <c r="H111" s="19">
        <f t="shared" si="9"/>
        <v>0.38</v>
      </c>
      <c r="I111" s="19">
        <f t="shared" si="10"/>
        <v>1.17</v>
      </c>
      <c r="J111" s="19">
        <f t="shared" si="11"/>
        <v>1.55</v>
      </c>
      <c r="K111" s="65" t="s">
        <v>20</v>
      </c>
      <c r="L111" s="33"/>
      <c r="M111" s="34" t="s">
        <v>164</v>
      </c>
      <c r="N111" s="34" t="s">
        <v>22</v>
      </c>
      <c r="O111" s="34" t="s">
        <v>183</v>
      </c>
      <c r="P111" s="34" t="s">
        <v>179</v>
      </c>
      <c r="Q111" s="34" t="s">
        <v>33</v>
      </c>
    </row>
    <row r="112" spans="1:17" ht="25.05" customHeight="1">
      <c r="A112" s="26">
        <v>45474</v>
      </c>
      <c r="B112" s="27" t="s">
        <v>163</v>
      </c>
      <c r="C112" s="27" t="s">
        <v>18</v>
      </c>
      <c r="D112" s="28" t="s">
        <v>19</v>
      </c>
      <c r="E112" s="30">
        <f>LOOKUP(EOMONTH(A112,0),'출처 및 기준'!$A$34:$A$53,'출처 및 기준'!$B$34:$B$53)</f>
        <v>3.5000000000000003E-2</v>
      </c>
      <c r="F112" s="31">
        <v>4.7800000000000002E-2</v>
      </c>
      <c r="G112" s="32">
        <v>5.0900000000000001E-2</v>
      </c>
      <c r="H112" s="19">
        <f t="shared" si="9"/>
        <v>0.31</v>
      </c>
      <c r="I112" s="29">
        <f t="shared" si="10"/>
        <v>1.28</v>
      </c>
      <c r="J112" s="29">
        <f t="shared" si="11"/>
        <v>1.59</v>
      </c>
      <c r="K112" s="66" t="s">
        <v>20</v>
      </c>
      <c r="L112" s="35"/>
      <c r="M112" s="36" t="s">
        <v>164</v>
      </c>
      <c r="N112" s="36" t="s">
        <v>22</v>
      </c>
      <c r="O112" s="36" t="s">
        <v>184</v>
      </c>
      <c r="P112" s="36" t="s">
        <v>179</v>
      </c>
      <c r="Q112" s="36" t="s">
        <v>35</v>
      </c>
    </row>
    <row r="113" spans="1:17" ht="25.05" customHeight="1">
      <c r="A113" s="16">
        <v>45444</v>
      </c>
      <c r="B113" s="17" t="s">
        <v>163</v>
      </c>
      <c r="C113" s="17" t="s">
        <v>18</v>
      </c>
      <c r="D113" s="18" t="s">
        <v>19</v>
      </c>
      <c r="E113" s="30">
        <f>LOOKUP(EOMONTH(A113,0),'출처 및 기준'!$A$34:$A$53,'출처 및 기준'!$B$34:$B$53)</f>
        <v>3.5000000000000003E-2</v>
      </c>
      <c r="F113" s="31">
        <v>4.8799999999999996E-2</v>
      </c>
      <c r="G113" s="32">
        <v>5.2499999999999998E-2</v>
      </c>
      <c r="H113" s="19">
        <f t="shared" si="9"/>
        <v>0.37</v>
      </c>
      <c r="I113" s="19">
        <f t="shared" si="10"/>
        <v>1.38</v>
      </c>
      <c r="J113" s="19">
        <f t="shared" si="11"/>
        <v>1.75</v>
      </c>
      <c r="K113" s="65" t="s">
        <v>20</v>
      </c>
      <c r="L113" s="33"/>
      <c r="M113" s="34" t="s">
        <v>164</v>
      </c>
      <c r="N113" s="34" t="s">
        <v>22</v>
      </c>
      <c r="O113" s="34" t="s">
        <v>185</v>
      </c>
      <c r="P113" s="34" t="s">
        <v>179</v>
      </c>
      <c r="Q113" s="34" t="s">
        <v>37</v>
      </c>
    </row>
    <row r="114" spans="1:17" ht="25.05" customHeight="1">
      <c r="A114" s="26">
        <v>45413</v>
      </c>
      <c r="B114" s="27" t="s">
        <v>163</v>
      </c>
      <c r="C114" s="27" t="s">
        <v>18</v>
      </c>
      <c r="D114" s="28" t="s">
        <v>19</v>
      </c>
      <c r="E114" s="30">
        <f>LOOKUP(EOMONTH(A114,0),'출처 및 기준'!$A$34:$A$53,'출처 및 기준'!$B$34:$B$53)</f>
        <v>3.5000000000000003E-2</v>
      </c>
      <c r="F114" s="31">
        <v>4.9000000000000002E-2</v>
      </c>
      <c r="G114" s="32">
        <v>5.1799999999999999E-2</v>
      </c>
      <c r="H114" s="19">
        <f t="shared" si="9"/>
        <v>0.28000000000000003</v>
      </c>
      <c r="I114" s="29">
        <f t="shared" si="10"/>
        <v>1.4</v>
      </c>
      <c r="J114" s="29">
        <f t="shared" si="11"/>
        <v>1.68</v>
      </c>
      <c r="K114" s="66" t="s">
        <v>20</v>
      </c>
      <c r="L114" s="35"/>
      <c r="M114" s="36" t="s">
        <v>164</v>
      </c>
      <c r="N114" s="36" t="s">
        <v>22</v>
      </c>
      <c r="O114" s="36" t="s">
        <v>186</v>
      </c>
      <c r="P114" s="36" t="s">
        <v>179</v>
      </c>
      <c r="Q114" s="36" t="s">
        <v>39</v>
      </c>
    </row>
    <row r="115" spans="1:17" ht="25.05" customHeight="1">
      <c r="A115" s="16">
        <v>45383</v>
      </c>
      <c r="B115" s="17" t="s">
        <v>163</v>
      </c>
      <c r="C115" s="17" t="s">
        <v>18</v>
      </c>
      <c r="D115" s="18" t="s">
        <v>19</v>
      </c>
      <c r="E115" s="30">
        <f>LOOKUP(EOMONTH(A115,0),'출처 및 기준'!$A$34:$A$53,'출처 및 기준'!$B$34:$B$53)</f>
        <v>3.5000000000000003E-2</v>
      </c>
      <c r="F115" s="31">
        <v>4.8799999999999996E-2</v>
      </c>
      <c r="G115" s="32">
        <v>5.0300000000000004E-2</v>
      </c>
      <c r="H115" s="19">
        <f t="shared" si="9"/>
        <v>0.15</v>
      </c>
      <c r="I115" s="19">
        <f t="shared" si="10"/>
        <v>1.38</v>
      </c>
      <c r="J115" s="19">
        <f t="shared" si="11"/>
        <v>1.53</v>
      </c>
      <c r="K115" s="65" t="s">
        <v>20</v>
      </c>
      <c r="L115" s="33"/>
      <c r="M115" s="34" t="s">
        <v>164</v>
      </c>
      <c r="N115" s="34" t="s">
        <v>22</v>
      </c>
      <c r="O115" s="34" t="s">
        <v>187</v>
      </c>
      <c r="P115" s="34" t="s">
        <v>179</v>
      </c>
      <c r="Q115" s="34" t="s">
        <v>41</v>
      </c>
    </row>
    <row r="116" spans="1:17" ht="25.05" customHeight="1">
      <c r="A116" s="26">
        <v>45352</v>
      </c>
      <c r="B116" s="27" t="s">
        <v>163</v>
      </c>
      <c r="C116" s="27" t="s">
        <v>18</v>
      </c>
      <c r="D116" s="28" t="s">
        <v>19</v>
      </c>
      <c r="E116" s="30">
        <f>LOOKUP(EOMONTH(A116,0),'출처 및 기준'!$A$34:$A$53,'출처 및 기준'!$B$34:$B$53)</f>
        <v>3.5000000000000003E-2</v>
      </c>
      <c r="F116" s="31">
        <v>4.9599999999999998E-2</v>
      </c>
      <c r="G116" s="32">
        <v>5.3200000000000004E-2</v>
      </c>
      <c r="H116" s="19">
        <f t="shared" si="9"/>
        <v>0.36</v>
      </c>
      <c r="I116" s="29">
        <f t="shared" si="10"/>
        <v>1.46</v>
      </c>
      <c r="J116" s="29">
        <f t="shared" si="11"/>
        <v>1.82</v>
      </c>
      <c r="K116" s="66" t="s">
        <v>20</v>
      </c>
      <c r="L116" s="35"/>
      <c r="M116" s="36" t="s">
        <v>164</v>
      </c>
      <c r="N116" s="36" t="s">
        <v>22</v>
      </c>
      <c r="O116" s="36" t="s">
        <v>188</v>
      </c>
      <c r="P116" s="36" t="s">
        <v>179</v>
      </c>
      <c r="Q116" s="36" t="s">
        <v>43</v>
      </c>
    </row>
    <row r="117" spans="1:17" ht="25.05" customHeight="1">
      <c r="A117" s="16">
        <v>45323</v>
      </c>
      <c r="B117" s="17" t="s">
        <v>163</v>
      </c>
      <c r="C117" s="17" t="s">
        <v>18</v>
      </c>
      <c r="D117" s="18" t="s">
        <v>19</v>
      </c>
      <c r="E117" s="30">
        <f>LOOKUP(EOMONTH(A117,0),'출처 및 기준'!$A$34:$A$53,'출처 및 기준'!$B$34:$B$53)</f>
        <v>3.5000000000000003E-2</v>
      </c>
      <c r="F117" s="31">
        <v>5.0300000000000004E-2</v>
      </c>
      <c r="G117" s="32">
        <v>5.3499999999999999E-2</v>
      </c>
      <c r="H117" s="19">
        <f t="shared" si="9"/>
        <v>0.32</v>
      </c>
      <c r="I117" s="19">
        <f t="shared" si="10"/>
        <v>1.53</v>
      </c>
      <c r="J117" s="19">
        <f t="shared" si="11"/>
        <v>1.85</v>
      </c>
      <c r="K117" s="65" t="s">
        <v>20</v>
      </c>
      <c r="L117" s="33"/>
      <c r="M117" s="34" t="s">
        <v>164</v>
      </c>
      <c r="N117" s="34" t="s">
        <v>22</v>
      </c>
      <c r="O117" s="34" t="s">
        <v>189</v>
      </c>
      <c r="P117" s="34" t="s">
        <v>179</v>
      </c>
      <c r="Q117" s="34" t="s">
        <v>45</v>
      </c>
    </row>
    <row r="118" spans="1:17" ht="25.05" customHeight="1">
      <c r="A118" s="26">
        <v>45292</v>
      </c>
      <c r="B118" s="27" t="s">
        <v>163</v>
      </c>
      <c r="C118" s="27" t="s">
        <v>18</v>
      </c>
      <c r="D118" s="28" t="s">
        <v>19</v>
      </c>
      <c r="E118" s="30">
        <f>LOOKUP(EOMONTH(A118,0),'출처 및 기준'!$A$34:$A$53,'출처 및 기준'!$B$34:$B$53)</f>
        <v>3.5000000000000003E-2</v>
      </c>
      <c r="F118" s="31">
        <v>5.2199999999999996E-2</v>
      </c>
      <c r="G118" s="32">
        <v>5.4100000000000002E-2</v>
      </c>
      <c r="H118" s="19">
        <f t="shared" si="9"/>
        <v>0.19</v>
      </c>
      <c r="I118" s="29">
        <f t="shared" si="10"/>
        <v>1.72</v>
      </c>
      <c r="J118" s="29">
        <f t="shared" si="11"/>
        <v>1.91</v>
      </c>
      <c r="K118" s="66" t="s">
        <v>20</v>
      </c>
      <c r="L118" s="35"/>
      <c r="M118" s="36" t="s">
        <v>164</v>
      </c>
      <c r="N118" s="36" t="s">
        <v>22</v>
      </c>
      <c r="O118" s="36" t="s">
        <v>190</v>
      </c>
      <c r="P118" s="36" t="s">
        <v>179</v>
      </c>
      <c r="Q118" s="36" t="s">
        <v>47</v>
      </c>
    </row>
    <row r="119" spans="1:17" ht="25.05" customHeight="1">
      <c r="A119" s="16">
        <v>45261</v>
      </c>
      <c r="B119" s="17" t="s">
        <v>163</v>
      </c>
      <c r="C119" s="17" t="s">
        <v>18</v>
      </c>
      <c r="D119" s="18" t="s">
        <v>19</v>
      </c>
      <c r="E119" s="30">
        <f>LOOKUP(EOMONTH(A119,0),'출처 및 기준'!$A$34:$A$53,'출처 및 기준'!$B$34:$B$53)</f>
        <v>3.5000000000000003E-2</v>
      </c>
      <c r="F119" s="31">
        <v>5.2900000000000003E-2</v>
      </c>
      <c r="G119" s="32">
        <v>5.74E-2</v>
      </c>
      <c r="H119" s="19">
        <f t="shared" si="9"/>
        <v>0.45</v>
      </c>
      <c r="I119" s="19">
        <f t="shared" si="10"/>
        <v>1.79</v>
      </c>
      <c r="J119" s="19">
        <f t="shared" si="11"/>
        <v>2.2400000000000002</v>
      </c>
      <c r="K119" s="65" t="s">
        <v>20</v>
      </c>
      <c r="L119" s="33"/>
      <c r="M119" s="34" t="s">
        <v>164</v>
      </c>
      <c r="N119" s="34" t="s">
        <v>22</v>
      </c>
      <c r="O119" s="34" t="s">
        <v>191</v>
      </c>
      <c r="P119" s="34" t="s">
        <v>192</v>
      </c>
      <c r="Q119" s="34" t="s">
        <v>25</v>
      </c>
    </row>
    <row r="120" spans="1:17" ht="25.05" customHeight="1">
      <c r="A120" s="26">
        <v>45231</v>
      </c>
      <c r="B120" s="27" t="s">
        <v>163</v>
      </c>
      <c r="C120" s="27" t="s">
        <v>18</v>
      </c>
      <c r="D120" s="28" t="s">
        <v>19</v>
      </c>
      <c r="E120" s="30">
        <f>LOOKUP(EOMONTH(A120,0),'출처 및 기준'!$A$34:$A$53,'출처 및 기준'!$B$34:$B$53)</f>
        <v>3.5000000000000003E-2</v>
      </c>
      <c r="F120" s="31">
        <v>5.3600000000000002E-2</v>
      </c>
      <c r="G120" s="32">
        <v>5.6900000000000006E-2</v>
      </c>
      <c r="H120" s="19">
        <f t="shared" si="9"/>
        <v>0.33</v>
      </c>
      <c r="I120" s="29">
        <f t="shared" si="10"/>
        <v>1.86</v>
      </c>
      <c r="J120" s="29">
        <f t="shared" si="11"/>
        <v>2.19</v>
      </c>
      <c r="K120" s="66" t="s">
        <v>20</v>
      </c>
      <c r="L120" s="35"/>
      <c r="M120" s="36" t="s">
        <v>164</v>
      </c>
      <c r="N120" s="36" t="s">
        <v>22</v>
      </c>
      <c r="O120" s="36" t="s">
        <v>193</v>
      </c>
      <c r="P120" s="36" t="s">
        <v>192</v>
      </c>
      <c r="Q120" s="36" t="s">
        <v>27</v>
      </c>
    </row>
    <row r="121" spans="1:17" ht="25.05" customHeight="1">
      <c r="A121" s="16">
        <v>45200</v>
      </c>
      <c r="B121" s="17" t="s">
        <v>163</v>
      </c>
      <c r="C121" s="17" t="s">
        <v>18</v>
      </c>
      <c r="D121" s="18" t="s">
        <v>19</v>
      </c>
      <c r="E121" s="30">
        <f>LOOKUP(EOMONTH(A121,0),'출처 및 기준'!$A$34:$A$53,'출처 및 기준'!$B$34:$B$53)</f>
        <v>3.5000000000000003E-2</v>
      </c>
      <c r="F121" s="31">
        <v>5.33E-2</v>
      </c>
      <c r="G121" s="32">
        <v>5.74E-2</v>
      </c>
      <c r="H121" s="19">
        <f t="shared" si="9"/>
        <v>0.41</v>
      </c>
      <c r="I121" s="19">
        <f t="shared" si="10"/>
        <v>1.83</v>
      </c>
      <c r="J121" s="19">
        <f t="shared" si="11"/>
        <v>2.2400000000000002</v>
      </c>
      <c r="K121" s="65" t="s">
        <v>20</v>
      </c>
      <c r="L121" s="33"/>
      <c r="M121" s="34" t="s">
        <v>164</v>
      </c>
      <c r="N121" s="34" t="s">
        <v>22</v>
      </c>
      <c r="O121" s="34" t="s">
        <v>194</v>
      </c>
      <c r="P121" s="34" t="s">
        <v>192</v>
      </c>
      <c r="Q121" s="34" t="s">
        <v>29</v>
      </c>
    </row>
    <row r="122" spans="1:17" ht="25.05" customHeight="1">
      <c r="A122" s="26">
        <v>45170</v>
      </c>
      <c r="B122" s="27" t="s">
        <v>163</v>
      </c>
      <c r="C122" s="27" t="s">
        <v>18</v>
      </c>
      <c r="D122" s="28" t="s">
        <v>19</v>
      </c>
      <c r="E122" s="30">
        <f>LOOKUP(EOMONTH(A122,0),'출처 및 기준'!$A$34:$A$53,'출처 및 기준'!$B$34:$B$53)</f>
        <v>3.5000000000000003E-2</v>
      </c>
      <c r="F122" s="31">
        <v>5.2699999999999997E-2</v>
      </c>
      <c r="G122" s="32">
        <v>5.67E-2</v>
      </c>
      <c r="H122" s="19">
        <f t="shared" si="9"/>
        <v>0.4</v>
      </c>
      <c r="I122" s="29">
        <f t="shared" si="10"/>
        <v>1.77</v>
      </c>
      <c r="J122" s="29">
        <f t="shared" si="11"/>
        <v>2.17</v>
      </c>
      <c r="K122" s="66" t="s">
        <v>20</v>
      </c>
      <c r="L122" s="35"/>
      <c r="M122" s="36" t="s">
        <v>164</v>
      </c>
      <c r="N122" s="36" t="s">
        <v>22</v>
      </c>
      <c r="O122" s="36" t="s">
        <v>195</v>
      </c>
      <c r="P122" s="36" t="s">
        <v>192</v>
      </c>
      <c r="Q122" s="36" t="s">
        <v>31</v>
      </c>
    </row>
    <row r="123" spans="1:17" ht="25.05" customHeight="1">
      <c r="A123" s="16">
        <v>45139</v>
      </c>
      <c r="B123" s="17" t="s">
        <v>163</v>
      </c>
      <c r="C123" s="17" t="s">
        <v>18</v>
      </c>
      <c r="D123" s="18" t="s">
        <v>19</v>
      </c>
      <c r="E123" s="30">
        <f>LOOKUP(EOMONTH(A123,0),'출처 및 기준'!$A$34:$A$53,'출처 및 기준'!$B$34:$B$53)</f>
        <v>3.5000000000000003E-2</v>
      </c>
      <c r="F123" s="31">
        <v>5.21E-2</v>
      </c>
      <c r="G123" s="32">
        <v>5.5E-2</v>
      </c>
      <c r="H123" s="19">
        <f t="shared" si="9"/>
        <v>0.28999999999999998</v>
      </c>
      <c r="I123" s="19">
        <f t="shared" si="10"/>
        <v>1.71</v>
      </c>
      <c r="J123" s="19">
        <f t="shared" si="11"/>
        <v>2</v>
      </c>
      <c r="K123" s="65" t="s">
        <v>20</v>
      </c>
      <c r="L123" s="33"/>
      <c r="M123" s="34" t="s">
        <v>164</v>
      </c>
      <c r="N123" s="34" t="s">
        <v>22</v>
      </c>
      <c r="O123" s="34" t="s">
        <v>196</v>
      </c>
      <c r="P123" s="34" t="s">
        <v>192</v>
      </c>
      <c r="Q123" s="34" t="s">
        <v>33</v>
      </c>
    </row>
    <row r="124" spans="1:17" ht="25.05" customHeight="1">
      <c r="A124" s="26">
        <v>45108</v>
      </c>
      <c r="B124" s="27" t="s">
        <v>163</v>
      </c>
      <c r="C124" s="27" t="s">
        <v>18</v>
      </c>
      <c r="D124" s="28" t="s">
        <v>19</v>
      </c>
      <c r="E124" s="30">
        <f>LOOKUP(EOMONTH(A124,0),'출처 및 기준'!$A$34:$A$53,'출처 및 기준'!$B$34:$B$53)</f>
        <v>3.5000000000000003E-2</v>
      </c>
      <c r="F124" s="31">
        <v>5.2499999999999998E-2</v>
      </c>
      <c r="G124" s="32">
        <v>5.4800000000000001E-2</v>
      </c>
      <c r="H124" s="19">
        <f t="shared" si="9"/>
        <v>0.23</v>
      </c>
      <c r="I124" s="29">
        <f t="shared" si="10"/>
        <v>1.75</v>
      </c>
      <c r="J124" s="29">
        <f t="shared" si="11"/>
        <v>1.98</v>
      </c>
      <c r="K124" s="66" t="s">
        <v>20</v>
      </c>
      <c r="L124" s="35"/>
      <c r="M124" s="36" t="s">
        <v>164</v>
      </c>
      <c r="N124" s="36" t="s">
        <v>22</v>
      </c>
      <c r="O124" s="36" t="s">
        <v>197</v>
      </c>
      <c r="P124" s="36" t="s">
        <v>192</v>
      </c>
      <c r="Q124" s="36" t="s">
        <v>35</v>
      </c>
    </row>
    <row r="125" spans="1:17" ht="25.05" customHeight="1">
      <c r="A125" s="16">
        <v>45078</v>
      </c>
      <c r="B125" s="17" t="s">
        <v>163</v>
      </c>
      <c r="C125" s="17" t="s">
        <v>18</v>
      </c>
      <c r="D125" s="18" t="s">
        <v>19</v>
      </c>
      <c r="E125" s="30">
        <f>LOOKUP(EOMONTH(A125,0),'출처 및 기준'!$A$34:$A$53,'출처 및 기준'!$B$34:$B$53)</f>
        <v>3.5000000000000003E-2</v>
      </c>
      <c r="F125" s="31">
        <v>5.3200000000000004E-2</v>
      </c>
      <c r="G125" s="32">
        <v>5.5999999999999994E-2</v>
      </c>
      <c r="H125" s="19">
        <f t="shared" si="9"/>
        <v>0.28000000000000003</v>
      </c>
      <c r="I125" s="19">
        <f t="shared" si="10"/>
        <v>1.82</v>
      </c>
      <c r="J125" s="19">
        <f t="shared" si="11"/>
        <v>2.1</v>
      </c>
      <c r="K125" s="65" t="s">
        <v>20</v>
      </c>
      <c r="L125" s="33"/>
      <c r="M125" s="34" t="s">
        <v>164</v>
      </c>
      <c r="N125" s="34" t="s">
        <v>22</v>
      </c>
      <c r="O125" s="34" t="s">
        <v>198</v>
      </c>
      <c r="P125" s="34" t="s">
        <v>192</v>
      </c>
      <c r="Q125" s="34" t="s">
        <v>37</v>
      </c>
    </row>
    <row r="126" spans="1:17" ht="25.05" customHeight="1">
      <c r="A126" s="26">
        <v>45047</v>
      </c>
      <c r="B126" s="27" t="s">
        <v>163</v>
      </c>
      <c r="C126" s="27" t="s">
        <v>18</v>
      </c>
      <c r="D126" s="28" t="s">
        <v>19</v>
      </c>
      <c r="E126" s="30">
        <f>LOOKUP(EOMONTH(A126,0),'출처 및 기준'!$A$34:$A$53,'출처 및 기준'!$B$34:$B$53)</f>
        <v>3.5000000000000003E-2</v>
      </c>
      <c r="F126" s="31">
        <v>5.2000000000000005E-2</v>
      </c>
      <c r="G126" s="32">
        <v>5.5099999999999996E-2</v>
      </c>
      <c r="H126" s="19">
        <f t="shared" si="9"/>
        <v>0.31</v>
      </c>
      <c r="I126" s="29">
        <f t="shared" si="10"/>
        <v>1.7</v>
      </c>
      <c r="J126" s="29">
        <f t="shared" si="11"/>
        <v>2.0099999999999998</v>
      </c>
      <c r="K126" s="66" t="s">
        <v>20</v>
      </c>
      <c r="L126" s="35"/>
      <c r="M126" s="36" t="s">
        <v>164</v>
      </c>
      <c r="N126" s="36" t="s">
        <v>22</v>
      </c>
      <c r="O126" s="36" t="s">
        <v>199</v>
      </c>
      <c r="P126" s="36" t="s">
        <v>192</v>
      </c>
      <c r="Q126" s="36" t="s">
        <v>39</v>
      </c>
    </row>
    <row r="127" spans="1:17" ht="25.05" customHeight="1">
      <c r="A127" s="16">
        <v>45017</v>
      </c>
      <c r="B127" s="17" t="s">
        <v>163</v>
      </c>
      <c r="C127" s="17" t="s">
        <v>18</v>
      </c>
      <c r="D127" s="18" t="s">
        <v>19</v>
      </c>
      <c r="E127" s="30">
        <f>LOOKUP(EOMONTH(A127,0),'출처 및 기준'!$A$34:$A$53,'출처 및 기준'!$B$34:$B$53)</f>
        <v>3.5000000000000003E-2</v>
      </c>
      <c r="F127" s="31">
        <v>5.0900000000000001E-2</v>
      </c>
      <c r="G127" s="32">
        <v>5.4000000000000006E-2</v>
      </c>
      <c r="H127" s="19">
        <f t="shared" si="9"/>
        <v>0.31</v>
      </c>
      <c r="I127" s="19">
        <f t="shared" si="10"/>
        <v>1.59</v>
      </c>
      <c r="J127" s="19">
        <f t="shared" si="11"/>
        <v>1.9</v>
      </c>
      <c r="K127" s="65" t="s">
        <v>20</v>
      </c>
      <c r="L127" s="33"/>
      <c r="M127" s="34" t="s">
        <v>164</v>
      </c>
      <c r="N127" s="34" t="s">
        <v>22</v>
      </c>
      <c r="O127" s="34" t="s">
        <v>200</v>
      </c>
      <c r="P127" s="34" t="s">
        <v>192</v>
      </c>
      <c r="Q127" s="34" t="s">
        <v>41</v>
      </c>
    </row>
    <row r="128" spans="1:17" ht="25.05" customHeight="1">
      <c r="A128" s="26">
        <v>44986</v>
      </c>
      <c r="B128" s="27" t="s">
        <v>163</v>
      </c>
      <c r="C128" s="27" t="s">
        <v>18</v>
      </c>
      <c r="D128" s="28" t="s">
        <v>19</v>
      </c>
      <c r="E128" s="30">
        <f>LOOKUP(EOMONTH(A128,0),'출처 및 기준'!$A$34:$A$53,'출처 및 기준'!$B$34:$B$53)</f>
        <v>3.5000000000000003E-2</v>
      </c>
      <c r="F128" s="31">
        <v>5.2499999999999998E-2</v>
      </c>
      <c r="G128" s="32">
        <v>5.4800000000000001E-2</v>
      </c>
      <c r="H128" s="19">
        <f t="shared" si="9"/>
        <v>0.23</v>
      </c>
      <c r="I128" s="29">
        <f t="shared" si="10"/>
        <v>1.75</v>
      </c>
      <c r="J128" s="29">
        <f t="shared" si="11"/>
        <v>1.98</v>
      </c>
      <c r="K128" s="66" t="s">
        <v>20</v>
      </c>
      <c r="L128" s="35"/>
      <c r="M128" s="36" t="s">
        <v>164</v>
      </c>
      <c r="N128" s="36" t="s">
        <v>22</v>
      </c>
      <c r="O128" s="36" t="s">
        <v>201</v>
      </c>
      <c r="P128" s="36" t="s">
        <v>192</v>
      </c>
      <c r="Q128" s="36" t="s">
        <v>43</v>
      </c>
    </row>
    <row r="129" spans="1:17" ht="25.05" customHeight="1">
      <c r="A129" s="16">
        <v>44958</v>
      </c>
      <c r="B129" s="17" t="s">
        <v>163</v>
      </c>
      <c r="C129" s="17" t="s">
        <v>18</v>
      </c>
      <c r="D129" s="18" t="s">
        <v>19</v>
      </c>
      <c r="E129" s="30">
        <f>LOOKUP(EOMONTH(A129,0),'출처 및 기준'!$A$34:$A$53,'출처 및 기준'!$B$34:$B$53)</f>
        <v>3.5000000000000003E-2</v>
      </c>
      <c r="F129" s="31">
        <v>5.3600000000000002E-2</v>
      </c>
      <c r="G129" s="32">
        <v>5.6900000000000006E-2</v>
      </c>
      <c r="H129" s="19">
        <f t="shared" si="9"/>
        <v>0.33</v>
      </c>
      <c r="I129" s="19">
        <f t="shared" si="10"/>
        <v>1.86</v>
      </c>
      <c r="J129" s="19">
        <f t="shared" si="11"/>
        <v>2.19</v>
      </c>
      <c r="K129" s="65" t="s">
        <v>20</v>
      </c>
      <c r="L129" s="33"/>
      <c r="M129" s="34" t="s">
        <v>164</v>
      </c>
      <c r="N129" s="34" t="s">
        <v>22</v>
      </c>
      <c r="O129" s="34" t="s">
        <v>202</v>
      </c>
      <c r="P129" s="34" t="s">
        <v>192</v>
      </c>
      <c r="Q129" s="34" t="s">
        <v>45</v>
      </c>
    </row>
    <row r="130" spans="1:17" ht="25.05" customHeight="1">
      <c r="A130" s="26">
        <v>44927</v>
      </c>
      <c r="B130" s="27" t="s">
        <v>163</v>
      </c>
      <c r="C130" s="27" t="s">
        <v>18</v>
      </c>
      <c r="D130" s="28" t="s">
        <v>19</v>
      </c>
      <c r="E130" s="30">
        <f>LOOKUP(EOMONTH(A130,0),'출처 및 기준'!$A$34:$A$53,'출처 및 기준'!$B$34:$B$53)</f>
        <v>3.5000000000000003E-2</v>
      </c>
      <c r="F130" s="31">
        <v>5.4699999999999999E-2</v>
      </c>
      <c r="G130" s="32">
        <v>5.7500000000000002E-2</v>
      </c>
      <c r="H130" s="19">
        <f t="shared" ref="H130:H161" si="12">IF(COUNT(F130:G130)=2,ROUND((G130-F130)*100,2),"")</f>
        <v>0.28000000000000003</v>
      </c>
      <c r="I130" s="29">
        <f t="shared" ref="I130:I161" si="13">IF(COUNT(E130:F130)=2,ROUND((F130-E130)*100,2),"")</f>
        <v>1.97</v>
      </c>
      <c r="J130" s="29">
        <f t="shared" ref="J130:J161" si="14">IF(AND(ISNUMBER(E130),ISNUMBER(G130)),ROUND((G130-E130)*100,2),"")</f>
        <v>2.25</v>
      </c>
      <c r="K130" s="66" t="s">
        <v>20</v>
      </c>
      <c r="L130" s="35"/>
      <c r="M130" s="36" t="s">
        <v>164</v>
      </c>
      <c r="N130" s="36" t="s">
        <v>22</v>
      </c>
      <c r="O130" s="36" t="s">
        <v>203</v>
      </c>
      <c r="P130" s="36" t="s">
        <v>192</v>
      </c>
      <c r="Q130" s="36" t="s">
        <v>47</v>
      </c>
    </row>
    <row r="131" spans="1:17" ht="25.05" customHeight="1">
      <c r="A131" s="47">
        <v>45992</v>
      </c>
      <c r="B131" s="54" t="s">
        <v>163</v>
      </c>
      <c r="C131" s="54" t="s">
        <v>204</v>
      </c>
      <c r="D131" s="55" t="s">
        <v>70</v>
      </c>
      <c r="E131" s="48">
        <f>LOOKUP(EOMONTH(A131,0),'출처 및 기준'!$A$34:$A$53,'출처 및 기준'!$B$34:$B$53)</f>
        <v>2.5000000000000001E-2</v>
      </c>
      <c r="F131" s="49">
        <v>2.8900000000000002E-2</v>
      </c>
      <c r="G131" s="50">
        <v>2.7200000000000002E-2</v>
      </c>
      <c r="H131" s="51">
        <f t="shared" si="12"/>
        <v>-0.17</v>
      </c>
      <c r="I131" s="51">
        <f t="shared" si="13"/>
        <v>0.39</v>
      </c>
      <c r="J131" s="51">
        <f t="shared" si="14"/>
        <v>0.22</v>
      </c>
      <c r="K131" s="67" t="s">
        <v>205</v>
      </c>
      <c r="L131" s="52"/>
      <c r="M131" s="53" t="s">
        <v>206</v>
      </c>
      <c r="N131" s="53" t="s">
        <v>22</v>
      </c>
      <c r="O131" s="53" t="s">
        <v>207</v>
      </c>
      <c r="P131" s="53" t="s">
        <v>166</v>
      </c>
      <c r="Q131" s="53" t="s">
        <v>208</v>
      </c>
    </row>
    <row r="132" spans="1:17" ht="25.05" customHeight="1">
      <c r="A132" s="26">
        <v>45962</v>
      </c>
      <c r="B132" s="27" t="s">
        <v>163</v>
      </c>
      <c r="C132" s="27" t="s">
        <v>204</v>
      </c>
      <c r="D132" s="28" t="s">
        <v>70</v>
      </c>
      <c r="E132" s="30">
        <f>LOOKUP(EOMONTH(A132,0),'출처 및 기준'!$A$34:$A$53,'출처 및 기준'!$B$34:$B$53)</f>
        <v>2.5000000000000001E-2</v>
      </c>
      <c r="F132" s="31">
        <v>2.8500000000000001E-2</v>
      </c>
      <c r="G132" s="32">
        <v>2.58E-2</v>
      </c>
      <c r="H132" s="19">
        <f t="shared" si="12"/>
        <v>-0.27</v>
      </c>
      <c r="I132" s="29">
        <f t="shared" si="13"/>
        <v>0.35</v>
      </c>
      <c r="J132" s="29">
        <f t="shared" si="14"/>
        <v>0.08</v>
      </c>
      <c r="K132" s="66" t="s">
        <v>205</v>
      </c>
      <c r="L132" s="35"/>
      <c r="M132" s="36" t="s">
        <v>206</v>
      </c>
      <c r="N132" s="36" t="s">
        <v>22</v>
      </c>
      <c r="O132" s="36" t="s">
        <v>209</v>
      </c>
      <c r="P132" s="36" t="s">
        <v>166</v>
      </c>
      <c r="Q132" s="36" t="s">
        <v>210</v>
      </c>
    </row>
    <row r="133" spans="1:17" ht="25.05" customHeight="1">
      <c r="A133" s="16">
        <v>45931</v>
      </c>
      <c r="B133" s="17" t="s">
        <v>163</v>
      </c>
      <c r="C133" s="17" t="s">
        <v>204</v>
      </c>
      <c r="D133" s="18" t="s">
        <v>70</v>
      </c>
      <c r="E133" s="30">
        <f>LOOKUP(EOMONTH(A133,0),'출처 및 기준'!$A$34:$A$53,'출처 및 기준'!$B$34:$B$53)</f>
        <v>2.5000000000000001E-2</v>
      </c>
      <c r="F133" s="31">
        <v>2.58E-2</v>
      </c>
      <c r="G133" s="32">
        <v>2.4399999999999998E-2</v>
      </c>
      <c r="H133" s="19">
        <f t="shared" si="12"/>
        <v>-0.14000000000000001</v>
      </c>
      <c r="I133" s="19">
        <f t="shared" si="13"/>
        <v>0.08</v>
      </c>
      <c r="J133" s="19">
        <f t="shared" si="14"/>
        <v>-0.06</v>
      </c>
      <c r="K133" s="65" t="s">
        <v>205</v>
      </c>
      <c r="L133" s="33"/>
      <c r="M133" s="34" t="s">
        <v>206</v>
      </c>
      <c r="N133" s="34" t="s">
        <v>22</v>
      </c>
      <c r="O133" s="34" t="s">
        <v>211</v>
      </c>
      <c r="P133" s="34" t="s">
        <v>166</v>
      </c>
      <c r="Q133" s="34" t="s">
        <v>212</v>
      </c>
    </row>
    <row r="134" spans="1:17" ht="25.05" customHeight="1">
      <c r="A134" s="26">
        <v>45901</v>
      </c>
      <c r="B134" s="27" t="s">
        <v>163</v>
      </c>
      <c r="C134" s="27" t="s">
        <v>204</v>
      </c>
      <c r="D134" s="28" t="s">
        <v>70</v>
      </c>
      <c r="E134" s="30">
        <f>LOOKUP(EOMONTH(A134,0),'출처 및 기준'!$A$34:$A$53,'출처 및 기준'!$B$34:$B$53)</f>
        <v>2.5000000000000001E-2</v>
      </c>
      <c r="F134" s="31">
        <v>2.5399999999999999E-2</v>
      </c>
      <c r="G134" s="32">
        <v>2.5099999999999997E-2</v>
      </c>
      <c r="H134" s="19">
        <f t="shared" si="12"/>
        <v>-0.03</v>
      </c>
      <c r="I134" s="29">
        <f t="shared" si="13"/>
        <v>0.04</v>
      </c>
      <c r="J134" s="29">
        <f t="shared" si="14"/>
        <v>0.01</v>
      </c>
      <c r="K134" s="66" t="s">
        <v>205</v>
      </c>
      <c r="L134" s="35"/>
      <c r="M134" s="36" t="s">
        <v>206</v>
      </c>
      <c r="N134" s="36" t="s">
        <v>22</v>
      </c>
      <c r="O134" s="36" t="s">
        <v>213</v>
      </c>
      <c r="P134" s="36" t="s">
        <v>166</v>
      </c>
      <c r="Q134" s="36" t="s">
        <v>214</v>
      </c>
    </row>
    <row r="135" spans="1:17" ht="25.05" customHeight="1">
      <c r="A135" s="16">
        <v>45870</v>
      </c>
      <c r="B135" s="17" t="s">
        <v>163</v>
      </c>
      <c r="C135" s="17" t="s">
        <v>204</v>
      </c>
      <c r="D135" s="18" t="s">
        <v>70</v>
      </c>
      <c r="E135" s="30">
        <f>LOOKUP(EOMONTH(A135,0),'출처 및 기준'!$A$34:$A$53,'출처 및 기준'!$B$34:$B$53)</f>
        <v>2.5000000000000001E-2</v>
      </c>
      <c r="F135" s="31">
        <v>2.5099999999999997E-2</v>
      </c>
      <c r="G135" s="32">
        <v>2.4399999999999998E-2</v>
      </c>
      <c r="H135" s="19">
        <f t="shared" si="12"/>
        <v>-7.0000000000000007E-2</v>
      </c>
      <c r="I135" s="19">
        <f t="shared" si="13"/>
        <v>0.01</v>
      </c>
      <c r="J135" s="19">
        <f t="shared" si="14"/>
        <v>-0.06</v>
      </c>
      <c r="K135" s="65" t="s">
        <v>205</v>
      </c>
      <c r="L135" s="33"/>
      <c r="M135" s="34" t="s">
        <v>206</v>
      </c>
      <c r="N135" s="34" t="s">
        <v>22</v>
      </c>
      <c r="O135" s="34" t="s">
        <v>215</v>
      </c>
      <c r="P135" s="34" t="s">
        <v>166</v>
      </c>
      <c r="Q135" s="34" t="s">
        <v>216</v>
      </c>
    </row>
    <row r="136" spans="1:17" ht="25.05" customHeight="1">
      <c r="A136" s="26">
        <v>45839</v>
      </c>
      <c r="B136" s="27" t="s">
        <v>163</v>
      </c>
      <c r="C136" s="27" t="s">
        <v>204</v>
      </c>
      <c r="D136" s="28" t="s">
        <v>70</v>
      </c>
      <c r="E136" s="30">
        <f>LOOKUP(EOMONTH(A136,0),'출처 및 기준'!$A$34:$A$53,'출처 및 기준'!$B$34:$B$53)</f>
        <v>2.5000000000000001E-2</v>
      </c>
      <c r="F136" s="31">
        <v>2.52E-2</v>
      </c>
      <c r="G136" s="32">
        <v>2.4199999999999999E-2</v>
      </c>
      <c r="H136" s="19">
        <f t="shared" si="12"/>
        <v>-0.1</v>
      </c>
      <c r="I136" s="29">
        <f t="shared" si="13"/>
        <v>0.02</v>
      </c>
      <c r="J136" s="29">
        <f t="shared" si="14"/>
        <v>-0.08</v>
      </c>
      <c r="K136" s="66" t="s">
        <v>205</v>
      </c>
      <c r="L136" s="35"/>
      <c r="M136" s="36" t="s">
        <v>206</v>
      </c>
      <c r="N136" s="36" t="s">
        <v>22</v>
      </c>
      <c r="O136" s="36" t="s">
        <v>217</v>
      </c>
      <c r="P136" s="36" t="s">
        <v>166</v>
      </c>
      <c r="Q136" s="36" t="s">
        <v>218</v>
      </c>
    </row>
    <row r="137" spans="1:17" ht="25.05" customHeight="1">
      <c r="A137" s="16">
        <v>45809</v>
      </c>
      <c r="B137" s="17" t="s">
        <v>163</v>
      </c>
      <c r="C137" s="17" t="s">
        <v>204</v>
      </c>
      <c r="D137" s="18" t="s">
        <v>70</v>
      </c>
      <c r="E137" s="30">
        <f>LOOKUP(EOMONTH(A137,0),'출처 및 기준'!$A$34:$A$53,'출처 및 기준'!$B$34:$B$53)</f>
        <v>2.5000000000000001E-2</v>
      </c>
      <c r="F137" s="31">
        <v>2.5699999999999997E-2</v>
      </c>
      <c r="G137" s="32">
        <v>2.53E-2</v>
      </c>
      <c r="H137" s="19">
        <f t="shared" si="12"/>
        <v>-0.04</v>
      </c>
      <c r="I137" s="19">
        <f t="shared" si="13"/>
        <v>7.0000000000000007E-2</v>
      </c>
      <c r="J137" s="19">
        <f t="shared" si="14"/>
        <v>0.03</v>
      </c>
      <c r="K137" s="65" t="s">
        <v>205</v>
      </c>
      <c r="L137" s="33"/>
      <c r="M137" s="34" t="s">
        <v>206</v>
      </c>
      <c r="N137" s="34" t="s">
        <v>22</v>
      </c>
      <c r="O137" s="34" t="s">
        <v>219</v>
      </c>
      <c r="P137" s="34" t="s">
        <v>166</v>
      </c>
      <c r="Q137" s="34" t="s">
        <v>220</v>
      </c>
    </row>
    <row r="138" spans="1:17" ht="25.05" customHeight="1">
      <c r="A138" s="26">
        <v>45778</v>
      </c>
      <c r="B138" s="27" t="s">
        <v>163</v>
      </c>
      <c r="C138" s="27" t="s">
        <v>204</v>
      </c>
      <c r="D138" s="28" t="s">
        <v>70</v>
      </c>
      <c r="E138" s="30">
        <f>LOOKUP(EOMONTH(A138,0),'출처 및 기준'!$A$34:$A$53,'출처 및 기준'!$B$34:$B$53)</f>
        <v>2.5000000000000001E-2</v>
      </c>
      <c r="F138" s="31">
        <v>2.64E-2</v>
      </c>
      <c r="G138" s="32">
        <v>2.6600000000000002E-2</v>
      </c>
      <c r="H138" s="19">
        <f t="shared" si="12"/>
        <v>0.02</v>
      </c>
      <c r="I138" s="29">
        <f t="shared" si="13"/>
        <v>0.14000000000000001</v>
      </c>
      <c r="J138" s="29">
        <f t="shared" si="14"/>
        <v>0.16</v>
      </c>
      <c r="K138" s="66" t="s">
        <v>205</v>
      </c>
      <c r="L138" s="35"/>
      <c r="M138" s="36" t="s">
        <v>206</v>
      </c>
      <c r="N138" s="36" t="s">
        <v>22</v>
      </c>
      <c r="O138" s="36" t="s">
        <v>221</v>
      </c>
      <c r="P138" s="36" t="s">
        <v>166</v>
      </c>
      <c r="Q138" s="36" t="s">
        <v>222</v>
      </c>
    </row>
    <row r="139" spans="1:17" ht="25.05" customHeight="1">
      <c r="A139" s="16">
        <v>45748</v>
      </c>
      <c r="B139" s="17" t="s">
        <v>163</v>
      </c>
      <c r="C139" s="17" t="s">
        <v>204</v>
      </c>
      <c r="D139" s="18" t="s">
        <v>70</v>
      </c>
      <c r="E139" s="30">
        <f>LOOKUP(EOMONTH(A139,0),'출처 및 기준'!$A$34:$A$53,'출처 및 기준'!$B$34:$B$53)</f>
        <v>2.75E-2</v>
      </c>
      <c r="F139" s="31">
        <v>2.7300000000000001E-2</v>
      </c>
      <c r="G139" s="32">
        <v>2.7699999999999999E-2</v>
      </c>
      <c r="H139" s="19">
        <f t="shared" si="12"/>
        <v>0.04</v>
      </c>
      <c r="I139" s="19">
        <f t="shared" si="13"/>
        <v>-0.02</v>
      </c>
      <c r="J139" s="19">
        <f t="shared" si="14"/>
        <v>0.02</v>
      </c>
      <c r="K139" s="65" t="s">
        <v>205</v>
      </c>
      <c r="L139" s="33"/>
      <c r="M139" s="34" t="s">
        <v>206</v>
      </c>
      <c r="N139" s="34" t="s">
        <v>22</v>
      </c>
      <c r="O139" s="34" t="s">
        <v>223</v>
      </c>
      <c r="P139" s="34" t="s">
        <v>166</v>
      </c>
      <c r="Q139" s="34" t="s">
        <v>224</v>
      </c>
    </row>
    <row r="140" spans="1:17" ht="25.05" customHeight="1">
      <c r="A140" s="26">
        <v>45717</v>
      </c>
      <c r="B140" s="27" t="s">
        <v>163</v>
      </c>
      <c r="C140" s="27" t="s">
        <v>204</v>
      </c>
      <c r="D140" s="28" t="s">
        <v>70</v>
      </c>
      <c r="E140" s="30">
        <f>LOOKUP(EOMONTH(A140,0),'출처 및 기준'!$A$34:$A$53,'출처 및 기준'!$B$34:$B$53)</f>
        <v>2.75E-2</v>
      </c>
      <c r="F140" s="31">
        <v>2.8900000000000002E-2</v>
      </c>
      <c r="G140" s="32">
        <v>2.8500000000000001E-2</v>
      </c>
      <c r="H140" s="19">
        <f t="shared" si="12"/>
        <v>-0.04</v>
      </c>
      <c r="I140" s="29">
        <f t="shared" si="13"/>
        <v>0.14000000000000001</v>
      </c>
      <c r="J140" s="29">
        <f t="shared" si="14"/>
        <v>0.1</v>
      </c>
      <c r="K140" s="66" t="s">
        <v>205</v>
      </c>
      <c r="L140" s="35"/>
      <c r="M140" s="36" t="s">
        <v>206</v>
      </c>
      <c r="N140" s="36" t="s">
        <v>22</v>
      </c>
      <c r="O140" s="36" t="s">
        <v>225</v>
      </c>
      <c r="P140" s="36" t="s">
        <v>166</v>
      </c>
      <c r="Q140" s="36" t="s">
        <v>226</v>
      </c>
    </row>
    <row r="141" spans="1:17" ht="25.05" customHeight="1">
      <c r="A141" s="16">
        <v>45689</v>
      </c>
      <c r="B141" s="17" t="s">
        <v>163</v>
      </c>
      <c r="C141" s="17" t="s">
        <v>204</v>
      </c>
      <c r="D141" s="18" t="s">
        <v>70</v>
      </c>
      <c r="E141" s="30">
        <f>LOOKUP(EOMONTH(A141,0),'출처 및 기준'!$A$34:$A$53,'출처 및 기준'!$B$34:$B$53)</f>
        <v>2.75E-2</v>
      </c>
      <c r="F141" s="31">
        <v>2.98E-2</v>
      </c>
      <c r="G141" s="32">
        <v>3.0200000000000001E-2</v>
      </c>
      <c r="H141" s="19">
        <f t="shared" si="12"/>
        <v>0.04</v>
      </c>
      <c r="I141" s="19">
        <f t="shared" si="13"/>
        <v>0.23</v>
      </c>
      <c r="J141" s="19">
        <f t="shared" si="14"/>
        <v>0.27</v>
      </c>
      <c r="K141" s="65" t="s">
        <v>205</v>
      </c>
      <c r="L141" s="33"/>
      <c r="M141" s="34" t="s">
        <v>206</v>
      </c>
      <c r="N141" s="34" t="s">
        <v>22</v>
      </c>
      <c r="O141" s="34" t="s">
        <v>227</v>
      </c>
      <c r="P141" s="34" t="s">
        <v>166</v>
      </c>
      <c r="Q141" s="34" t="s">
        <v>228</v>
      </c>
    </row>
    <row r="142" spans="1:17" ht="25.05" customHeight="1">
      <c r="A142" s="26">
        <v>45658</v>
      </c>
      <c r="B142" s="27" t="s">
        <v>163</v>
      </c>
      <c r="C142" s="27" t="s">
        <v>204</v>
      </c>
      <c r="D142" s="28" t="s">
        <v>70</v>
      </c>
      <c r="E142" s="30">
        <f>LOOKUP(EOMONTH(A142,0),'출처 및 기준'!$A$34:$A$53,'출처 및 기준'!$B$34:$B$53)</f>
        <v>0.03</v>
      </c>
      <c r="F142" s="31">
        <v>3.0600000000000002E-2</v>
      </c>
      <c r="G142" s="32">
        <v>3.0200000000000001E-2</v>
      </c>
      <c r="H142" s="19">
        <f t="shared" si="12"/>
        <v>-0.04</v>
      </c>
      <c r="I142" s="29">
        <f t="shared" si="13"/>
        <v>0.06</v>
      </c>
      <c r="J142" s="29">
        <f t="shared" si="14"/>
        <v>0.02</v>
      </c>
      <c r="K142" s="66" t="s">
        <v>205</v>
      </c>
      <c r="L142" s="35"/>
      <c r="M142" s="36" t="s">
        <v>206</v>
      </c>
      <c r="N142" s="36" t="s">
        <v>22</v>
      </c>
      <c r="O142" s="36" t="s">
        <v>229</v>
      </c>
      <c r="P142" s="36" t="s">
        <v>166</v>
      </c>
      <c r="Q142" s="36" t="s">
        <v>230</v>
      </c>
    </row>
    <row r="143" spans="1:17" ht="25.05" customHeight="1">
      <c r="A143" s="16">
        <v>45627</v>
      </c>
      <c r="B143" s="17" t="s">
        <v>163</v>
      </c>
      <c r="C143" s="17" t="s">
        <v>204</v>
      </c>
      <c r="D143" s="18" t="s">
        <v>70</v>
      </c>
      <c r="E143" s="30">
        <f>LOOKUP(EOMONTH(A143,0),'출처 및 기준'!$A$34:$A$53,'출처 및 기준'!$B$34:$B$53)</f>
        <v>0.03</v>
      </c>
      <c r="F143" s="31">
        <v>3.1800000000000002E-2</v>
      </c>
      <c r="G143" s="32">
        <v>3.1300000000000001E-2</v>
      </c>
      <c r="H143" s="19">
        <f t="shared" si="12"/>
        <v>-0.05</v>
      </c>
      <c r="I143" s="19">
        <f t="shared" si="13"/>
        <v>0.18</v>
      </c>
      <c r="J143" s="19">
        <f t="shared" si="14"/>
        <v>0.13</v>
      </c>
      <c r="K143" s="65" t="s">
        <v>205</v>
      </c>
      <c r="L143" s="33"/>
      <c r="M143" s="34" t="s">
        <v>206</v>
      </c>
      <c r="N143" s="34" t="s">
        <v>22</v>
      </c>
      <c r="O143" s="34" t="s">
        <v>231</v>
      </c>
      <c r="P143" s="34" t="s">
        <v>179</v>
      </c>
      <c r="Q143" s="34" t="s">
        <v>208</v>
      </c>
    </row>
    <row r="144" spans="1:17" ht="25.05" customHeight="1">
      <c r="A144" s="26">
        <v>45597</v>
      </c>
      <c r="B144" s="27" t="s">
        <v>163</v>
      </c>
      <c r="C144" s="27" t="s">
        <v>204</v>
      </c>
      <c r="D144" s="28" t="s">
        <v>70</v>
      </c>
      <c r="E144" s="30">
        <f>LOOKUP(EOMONTH(A144,0),'출처 및 기준'!$A$34:$A$53,'출처 및 기준'!$B$34:$B$53)</f>
        <v>0.03</v>
      </c>
      <c r="F144" s="31">
        <v>3.39E-2</v>
      </c>
      <c r="G144" s="32">
        <v>3.3099999999999997E-2</v>
      </c>
      <c r="H144" s="19">
        <f t="shared" si="12"/>
        <v>-0.08</v>
      </c>
      <c r="I144" s="29">
        <f t="shared" si="13"/>
        <v>0.39</v>
      </c>
      <c r="J144" s="29">
        <f t="shared" si="14"/>
        <v>0.31</v>
      </c>
      <c r="K144" s="66" t="s">
        <v>205</v>
      </c>
      <c r="L144" s="35"/>
      <c r="M144" s="36" t="s">
        <v>206</v>
      </c>
      <c r="N144" s="36" t="s">
        <v>22</v>
      </c>
      <c r="O144" s="36" t="s">
        <v>232</v>
      </c>
      <c r="P144" s="36" t="s">
        <v>179</v>
      </c>
      <c r="Q144" s="36" t="s">
        <v>210</v>
      </c>
    </row>
    <row r="145" spans="1:17" ht="25.05" customHeight="1">
      <c r="A145" s="16">
        <v>45566</v>
      </c>
      <c r="B145" s="17" t="s">
        <v>163</v>
      </c>
      <c r="C145" s="17" t="s">
        <v>204</v>
      </c>
      <c r="D145" s="18" t="s">
        <v>70</v>
      </c>
      <c r="E145" s="30">
        <f>LOOKUP(EOMONTH(A145,0),'출처 및 기준'!$A$34:$A$53,'출처 및 기준'!$B$34:$B$53)</f>
        <v>3.2500000000000001E-2</v>
      </c>
      <c r="F145" s="31">
        <v>3.3700000000000001E-2</v>
      </c>
      <c r="G145" s="32">
        <v>3.32E-2</v>
      </c>
      <c r="H145" s="19">
        <f t="shared" si="12"/>
        <v>-0.05</v>
      </c>
      <c r="I145" s="19">
        <f t="shared" si="13"/>
        <v>0.12</v>
      </c>
      <c r="J145" s="19">
        <f t="shared" si="14"/>
        <v>7.0000000000000007E-2</v>
      </c>
      <c r="K145" s="65" t="s">
        <v>205</v>
      </c>
      <c r="L145" s="33"/>
      <c r="M145" s="34" t="s">
        <v>206</v>
      </c>
      <c r="N145" s="34" t="s">
        <v>22</v>
      </c>
      <c r="O145" s="34" t="s">
        <v>233</v>
      </c>
      <c r="P145" s="34" t="s">
        <v>179</v>
      </c>
      <c r="Q145" s="34" t="s">
        <v>212</v>
      </c>
    </row>
    <row r="146" spans="1:17" ht="25.05" customHeight="1">
      <c r="A146" s="26">
        <v>45536</v>
      </c>
      <c r="B146" s="27" t="s">
        <v>163</v>
      </c>
      <c r="C146" s="27" t="s">
        <v>204</v>
      </c>
      <c r="D146" s="28" t="s">
        <v>70</v>
      </c>
      <c r="E146" s="30">
        <f>LOOKUP(EOMONTH(A146,0),'출처 및 기준'!$A$34:$A$53,'출처 및 기준'!$B$34:$B$53)</f>
        <v>3.5000000000000003E-2</v>
      </c>
      <c r="F146" s="31">
        <v>3.39E-2</v>
      </c>
      <c r="G146" s="32">
        <v>3.32E-2</v>
      </c>
      <c r="H146" s="19">
        <f t="shared" si="12"/>
        <v>-7.0000000000000007E-2</v>
      </c>
      <c r="I146" s="29">
        <f t="shared" si="13"/>
        <v>-0.11</v>
      </c>
      <c r="J146" s="29">
        <f t="shared" si="14"/>
        <v>-0.18</v>
      </c>
      <c r="K146" s="66" t="s">
        <v>205</v>
      </c>
      <c r="L146" s="35"/>
      <c r="M146" s="36" t="s">
        <v>206</v>
      </c>
      <c r="N146" s="36" t="s">
        <v>22</v>
      </c>
      <c r="O146" s="36" t="s">
        <v>234</v>
      </c>
      <c r="P146" s="36" t="s">
        <v>179</v>
      </c>
      <c r="Q146" s="36" t="s">
        <v>214</v>
      </c>
    </row>
    <row r="147" spans="1:17" ht="25.05" customHeight="1">
      <c r="A147" s="16">
        <v>45505</v>
      </c>
      <c r="B147" s="17" t="s">
        <v>163</v>
      </c>
      <c r="C147" s="17" t="s">
        <v>204</v>
      </c>
      <c r="D147" s="18" t="s">
        <v>70</v>
      </c>
      <c r="E147" s="30">
        <f>LOOKUP(EOMONTH(A147,0),'출처 및 기준'!$A$34:$A$53,'출처 및 기준'!$B$34:$B$53)</f>
        <v>3.5000000000000003E-2</v>
      </c>
      <c r="F147" s="31">
        <v>3.3599999999999998E-2</v>
      </c>
      <c r="G147" s="32">
        <v>3.3500000000000002E-2</v>
      </c>
      <c r="H147" s="19">
        <f t="shared" si="12"/>
        <v>-0.01</v>
      </c>
      <c r="I147" s="19">
        <f t="shared" si="13"/>
        <v>-0.14000000000000001</v>
      </c>
      <c r="J147" s="19">
        <f t="shared" si="14"/>
        <v>-0.15</v>
      </c>
      <c r="K147" s="65" t="s">
        <v>205</v>
      </c>
      <c r="L147" s="33"/>
      <c r="M147" s="34" t="s">
        <v>206</v>
      </c>
      <c r="N147" s="34" t="s">
        <v>22</v>
      </c>
      <c r="O147" s="34" t="s">
        <v>235</v>
      </c>
      <c r="P147" s="34" t="s">
        <v>179</v>
      </c>
      <c r="Q147" s="34" t="s">
        <v>216</v>
      </c>
    </row>
    <row r="148" spans="1:17" ht="25.05" customHeight="1">
      <c r="A148" s="26">
        <v>45474</v>
      </c>
      <c r="B148" s="27" t="s">
        <v>163</v>
      </c>
      <c r="C148" s="27" t="s">
        <v>204</v>
      </c>
      <c r="D148" s="28" t="s">
        <v>70</v>
      </c>
      <c r="E148" s="30">
        <f>LOOKUP(EOMONTH(A148,0),'출처 및 기준'!$A$34:$A$53,'출처 및 기준'!$B$34:$B$53)</f>
        <v>3.5000000000000003E-2</v>
      </c>
      <c r="F148" s="31">
        <v>3.4200000000000001E-2</v>
      </c>
      <c r="G148" s="32">
        <v>3.4599999999999999E-2</v>
      </c>
      <c r="H148" s="19">
        <f t="shared" si="12"/>
        <v>0.04</v>
      </c>
      <c r="I148" s="29">
        <f t="shared" si="13"/>
        <v>-0.08</v>
      </c>
      <c r="J148" s="29">
        <f t="shared" si="14"/>
        <v>-0.04</v>
      </c>
      <c r="K148" s="66" t="s">
        <v>205</v>
      </c>
      <c r="L148" s="35"/>
      <c r="M148" s="36" t="s">
        <v>206</v>
      </c>
      <c r="N148" s="36" t="s">
        <v>22</v>
      </c>
      <c r="O148" s="36" t="s">
        <v>236</v>
      </c>
      <c r="P148" s="36" t="s">
        <v>179</v>
      </c>
      <c r="Q148" s="36" t="s">
        <v>218</v>
      </c>
    </row>
    <row r="149" spans="1:17" ht="25.05" customHeight="1">
      <c r="A149" s="16">
        <v>45444</v>
      </c>
      <c r="B149" s="17" t="s">
        <v>163</v>
      </c>
      <c r="C149" s="17" t="s">
        <v>204</v>
      </c>
      <c r="D149" s="18" t="s">
        <v>70</v>
      </c>
      <c r="E149" s="30">
        <f>LOOKUP(EOMONTH(A149,0),'출처 및 기준'!$A$34:$A$53,'출처 및 기준'!$B$34:$B$53)</f>
        <v>3.5000000000000003E-2</v>
      </c>
      <c r="F149" s="31">
        <v>3.5400000000000001E-2</v>
      </c>
      <c r="G149" s="32">
        <v>3.5400000000000001E-2</v>
      </c>
      <c r="H149" s="19">
        <f t="shared" si="12"/>
        <v>0</v>
      </c>
      <c r="I149" s="19">
        <f t="shared" si="13"/>
        <v>0.04</v>
      </c>
      <c r="J149" s="19">
        <f t="shared" si="14"/>
        <v>0.04</v>
      </c>
      <c r="K149" s="65" t="s">
        <v>205</v>
      </c>
      <c r="L149" s="33"/>
      <c r="M149" s="34" t="s">
        <v>206</v>
      </c>
      <c r="N149" s="34" t="s">
        <v>22</v>
      </c>
      <c r="O149" s="34" t="s">
        <v>237</v>
      </c>
      <c r="P149" s="34" t="s">
        <v>179</v>
      </c>
      <c r="Q149" s="34" t="s">
        <v>220</v>
      </c>
    </row>
    <row r="150" spans="1:17" ht="25.05" customHeight="1">
      <c r="A150" s="26">
        <v>45413</v>
      </c>
      <c r="B150" s="27" t="s">
        <v>163</v>
      </c>
      <c r="C150" s="27" t="s">
        <v>204</v>
      </c>
      <c r="D150" s="28" t="s">
        <v>70</v>
      </c>
      <c r="E150" s="30">
        <f>LOOKUP(EOMONTH(A150,0),'출처 및 기준'!$A$34:$A$53,'출처 및 기준'!$B$34:$B$53)</f>
        <v>3.5000000000000003E-2</v>
      </c>
      <c r="F150" s="31">
        <v>3.61E-2</v>
      </c>
      <c r="G150" s="32">
        <v>3.6900000000000002E-2</v>
      </c>
      <c r="H150" s="19">
        <f t="shared" si="12"/>
        <v>0.08</v>
      </c>
      <c r="I150" s="29">
        <f t="shared" si="13"/>
        <v>0.11</v>
      </c>
      <c r="J150" s="29">
        <f t="shared" si="14"/>
        <v>0.19</v>
      </c>
      <c r="K150" s="66" t="s">
        <v>205</v>
      </c>
      <c r="L150" s="35"/>
      <c r="M150" s="36" t="s">
        <v>206</v>
      </c>
      <c r="N150" s="36" t="s">
        <v>22</v>
      </c>
      <c r="O150" s="36" t="s">
        <v>238</v>
      </c>
      <c r="P150" s="36" t="s">
        <v>179</v>
      </c>
      <c r="Q150" s="36" t="s">
        <v>222</v>
      </c>
    </row>
    <row r="151" spans="1:17" ht="25.05" customHeight="1">
      <c r="A151" s="16">
        <v>45383</v>
      </c>
      <c r="B151" s="17" t="s">
        <v>163</v>
      </c>
      <c r="C151" s="17" t="s">
        <v>204</v>
      </c>
      <c r="D151" s="18" t="s">
        <v>70</v>
      </c>
      <c r="E151" s="30">
        <f>LOOKUP(EOMONTH(A151,0),'출처 및 기준'!$A$34:$A$53,'출처 및 기준'!$B$34:$B$53)</f>
        <v>3.5000000000000003E-2</v>
      </c>
      <c r="F151" s="31">
        <v>3.56E-2</v>
      </c>
      <c r="G151" s="32">
        <v>3.61E-2</v>
      </c>
      <c r="H151" s="19">
        <f t="shared" si="12"/>
        <v>0.05</v>
      </c>
      <c r="I151" s="19">
        <f t="shared" si="13"/>
        <v>0.06</v>
      </c>
      <c r="J151" s="19">
        <f t="shared" si="14"/>
        <v>0.11</v>
      </c>
      <c r="K151" s="65" t="s">
        <v>205</v>
      </c>
      <c r="L151" s="33"/>
      <c r="M151" s="34" t="s">
        <v>206</v>
      </c>
      <c r="N151" s="34" t="s">
        <v>22</v>
      </c>
      <c r="O151" s="34" t="s">
        <v>239</v>
      </c>
      <c r="P151" s="34" t="s">
        <v>179</v>
      </c>
      <c r="Q151" s="34" t="s">
        <v>224</v>
      </c>
    </row>
    <row r="152" spans="1:17" ht="25.05" customHeight="1">
      <c r="A152" s="26">
        <v>45352</v>
      </c>
      <c r="B152" s="27" t="s">
        <v>163</v>
      </c>
      <c r="C152" s="27" t="s">
        <v>204</v>
      </c>
      <c r="D152" s="28" t="s">
        <v>70</v>
      </c>
      <c r="E152" s="30">
        <f>LOOKUP(EOMONTH(A152,0),'출처 및 기준'!$A$34:$A$53,'출처 및 기준'!$B$34:$B$53)</f>
        <v>3.5000000000000003E-2</v>
      </c>
      <c r="F152" s="31">
        <v>3.61E-2</v>
      </c>
      <c r="G152" s="32">
        <v>3.6000000000000004E-2</v>
      </c>
      <c r="H152" s="19">
        <f t="shared" si="12"/>
        <v>-0.01</v>
      </c>
      <c r="I152" s="29">
        <f t="shared" si="13"/>
        <v>0.11</v>
      </c>
      <c r="J152" s="29">
        <f t="shared" si="14"/>
        <v>0.1</v>
      </c>
      <c r="K152" s="66" t="s">
        <v>205</v>
      </c>
      <c r="L152" s="35"/>
      <c r="M152" s="36" t="s">
        <v>206</v>
      </c>
      <c r="N152" s="36" t="s">
        <v>22</v>
      </c>
      <c r="O152" s="36" t="s">
        <v>240</v>
      </c>
      <c r="P152" s="36" t="s">
        <v>179</v>
      </c>
      <c r="Q152" s="36" t="s">
        <v>226</v>
      </c>
    </row>
    <row r="153" spans="1:17" ht="25.05" customHeight="1">
      <c r="A153" s="16">
        <v>45323</v>
      </c>
      <c r="B153" s="17" t="s">
        <v>163</v>
      </c>
      <c r="C153" s="17" t="s">
        <v>204</v>
      </c>
      <c r="D153" s="18" t="s">
        <v>70</v>
      </c>
      <c r="E153" s="30">
        <f>LOOKUP(EOMONTH(A153,0),'출처 및 기준'!$A$34:$A$53,'출처 및 기준'!$B$34:$B$53)</f>
        <v>3.5000000000000003E-2</v>
      </c>
      <c r="F153" s="31">
        <v>3.6299999999999999E-2</v>
      </c>
      <c r="G153" s="32">
        <v>3.6600000000000001E-2</v>
      </c>
      <c r="H153" s="19">
        <f t="shared" si="12"/>
        <v>0.03</v>
      </c>
      <c r="I153" s="19">
        <f t="shared" si="13"/>
        <v>0.13</v>
      </c>
      <c r="J153" s="19">
        <f t="shared" si="14"/>
        <v>0.16</v>
      </c>
      <c r="K153" s="65" t="s">
        <v>205</v>
      </c>
      <c r="L153" s="33"/>
      <c r="M153" s="34" t="s">
        <v>206</v>
      </c>
      <c r="N153" s="34" t="s">
        <v>22</v>
      </c>
      <c r="O153" s="34" t="s">
        <v>241</v>
      </c>
      <c r="P153" s="34" t="s">
        <v>179</v>
      </c>
      <c r="Q153" s="34" t="s">
        <v>228</v>
      </c>
    </row>
    <row r="154" spans="1:17" ht="25.05" customHeight="1">
      <c r="A154" s="26">
        <v>45292</v>
      </c>
      <c r="B154" s="27" t="s">
        <v>163</v>
      </c>
      <c r="C154" s="27" t="s">
        <v>204</v>
      </c>
      <c r="D154" s="28" t="s">
        <v>70</v>
      </c>
      <c r="E154" s="30">
        <f>LOOKUP(EOMONTH(A154,0),'출처 및 기준'!$A$34:$A$53,'출처 및 기준'!$B$34:$B$53)</f>
        <v>3.5000000000000003E-2</v>
      </c>
      <c r="F154" s="31">
        <v>3.6499999999999998E-2</v>
      </c>
      <c r="G154" s="32">
        <v>3.7000000000000005E-2</v>
      </c>
      <c r="H154" s="19">
        <f t="shared" si="12"/>
        <v>0.05</v>
      </c>
      <c r="I154" s="29">
        <f t="shared" si="13"/>
        <v>0.15</v>
      </c>
      <c r="J154" s="29">
        <f t="shared" si="14"/>
        <v>0.2</v>
      </c>
      <c r="K154" s="66" t="s">
        <v>205</v>
      </c>
      <c r="L154" s="35"/>
      <c r="M154" s="36" t="s">
        <v>206</v>
      </c>
      <c r="N154" s="36" t="s">
        <v>22</v>
      </c>
      <c r="O154" s="36" t="s">
        <v>242</v>
      </c>
      <c r="P154" s="36" t="s">
        <v>179</v>
      </c>
      <c r="Q154" s="36" t="s">
        <v>230</v>
      </c>
    </row>
    <row r="155" spans="1:17" ht="25.05" customHeight="1">
      <c r="A155" s="16">
        <v>45261</v>
      </c>
      <c r="B155" s="17" t="s">
        <v>163</v>
      </c>
      <c r="C155" s="17" t="s">
        <v>204</v>
      </c>
      <c r="D155" s="18" t="s">
        <v>70</v>
      </c>
      <c r="E155" s="30">
        <f>LOOKUP(EOMONTH(A155,0),'출처 및 기준'!$A$34:$A$53,'출처 및 기준'!$B$34:$B$53)</f>
        <v>3.5000000000000003E-2</v>
      </c>
      <c r="F155" s="31">
        <v>3.8800000000000001E-2</v>
      </c>
      <c r="G155" s="32">
        <v>3.7699999999999997E-2</v>
      </c>
      <c r="H155" s="19">
        <f t="shared" si="12"/>
        <v>-0.11</v>
      </c>
      <c r="I155" s="19">
        <f t="shared" si="13"/>
        <v>0.38</v>
      </c>
      <c r="J155" s="19">
        <f t="shared" si="14"/>
        <v>0.27</v>
      </c>
      <c r="K155" s="65" t="s">
        <v>205</v>
      </c>
      <c r="L155" s="33"/>
      <c r="M155" s="34" t="s">
        <v>206</v>
      </c>
      <c r="N155" s="34" t="s">
        <v>22</v>
      </c>
      <c r="O155" s="34" t="s">
        <v>243</v>
      </c>
      <c r="P155" s="34" t="s">
        <v>192</v>
      </c>
      <c r="Q155" s="34" t="s">
        <v>208</v>
      </c>
    </row>
    <row r="156" spans="1:17" ht="25.05" customHeight="1">
      <c r="A156" s="26">
        <v>45231</v>
      </c>
      <c r="B156" s="27" t="s">
        <v>163</v>
      </c>
      <c r="C156" s="27" t="s">
        <v>204</v>
      </c>
      <c r="D156" s="28" t="s">
        <v>70</v>
      </c>
      <c r="E156" s="30">
        <f>LOOKUP(EOMONTH(A156,0),'출처 및 기준'!$A$34:$A$53,'출처 및 기준'!$B$34:$B$53)</f>
        <v>3.5000000000000003E-2</v>
      </c>
      <c r="F156" s="31">
        <v>4.1799999999999997E-2</v>
      </c>
      <c r="G156" s="32">
        <v>4.0899999999999999E-2</v>
      </c>
      <c r="H156" s="19">
        <f t="shared" si="12"/>
        <v>-0.09</v>
      </c>
      <c r="I156" s="29">
        <f t="shared" si="13"/>
        <v>0.68</v>
      </c>
      <c r="J156" s="29">
        <f t="shared" si="14"/>
        <v>0.59</v>
      </c>
      <c r="K156" s="66" t="s">
        <v>205</v>
      </c>
      <c r="L156" s="35"/>
      <c r="M156" s="36" t="s">
        <v>206</v>
      </c>
      <c r="N156" s="36" t="s">
        <v>22</v>
      </c>
      <c r="O156" s="36" t="s">
        <v>244</v>
      </c>
      <c r="P156" s="36" t="s">
        <v>192</v>
      </c>
      <c r="Q156" s="36" t="s">
        <v>210</v>
      </c>
    </row>
    <row r="157" spans="1:17" ht="25.05" customHeight="1">
      <c r="A157" s="16">
        <v>45200</v>
      </c>
      <c r="B157" s="17" t="s">
        <v>163</v>
      </c>
      <c r="C157" s="17" t="s">
        <v>204</v>
      </c>
      <c r="D157" s="18" t="s">
        <v>70</v>
      </c>
      <c r="E157" s="30">
        <f>LOOKUP(EOMONTH(A157,0),'출처 및 기준'!$A$34:$A$53,'출처 및 기준'!$B$34:$B$53)</f>
        <v>3.5000000000000003E-2</v>
      </c>
      <c r="F157" s="31">
        <v>4.1100000000000005E-2</v>
      </c>
      <c r="G157" s="32">
        <v>4.0599999999999997E-2</v>
      </c>
      <c r="H157" s="19">
        <f t="shared" si="12"/>
        <v>-0.05</v>
      </c>
      <c r="I157" s="19">
        <f t="shared" si="13"/>
        <v>0.61</v>
      </c>
      <c r="J157" s="19">
        <f t="shared" si="14"/>
        <v>0.56000000000000005</v>
      </c>
      <c r="K157" s="65" t="s">
        <v>205</v>
      </c>
      <c r="L157" s="33"/>
      <c r="M157" s="34" t="s">
        <v>206</v>
      </c>
      <c r="N157" s="34" t="s">
        <v>22</v>
      </c>
      <c r="O157" s="34" t="s">
        <v>245</v>
      </c>
      <c r="P157" s="34" t="s">
        <v>192</v>
      </c>
      <c r="Q157" s="34" t="s">
        <v>212</v>
      </c>
    </row>
    <row r="158" spans="1:17" ht="25.05" customHeight="1">
      <c r="A158" s="26">
        <v>45170</v>
      </c>
      <c r="B158" s="27" t="s">
        <v>163</v>
      </c>
      <c r="C158" s="27" t="s">
        <v>204</v>
      </c>
      <c r="D158" s="28" t="s">
        <v>70</v>
      </c>
      <c r="E158" s="30">
        <f>LOOKUP(EOMONTH(A158,0),'출처 및 기준'!$A$34:$A$53,'출처 및 기준'!$B$34:$B$53)</f>
        <v>3.5000000000000003E-2</v>
      </c>
      <c r="F158" s="31">
        <v>3.8900000000000004E-2</v>
      </c>
      <c r="G158" s="32">
        <v>3.8699999999999998E-2</v>
      </c>
      <c r="H158" s="19">
        <f t="shared" si="12"/>
        <v>-0.02</v>
      </c>
      <c r="I158" s="29">
        <f t="shared" si="13"/>
        <v>0.39</v>
      </c>
      <c r="J158" s="29">
        <f t="shared" si="14"/>
        <v>0.37</v>
      </c>
      <c r="K158" s="66" t="s">
        <v>205</v>
      </c>
      <c r="L158" s="35"/>
      <c r="M158" s="36" t="s">
        <v>206</v>
      </c>
      <c r="N158" s="36" t="s">
        <v>22</v>
      </c>
      <c r="O158" s="36" t="s">
        <v>246</v>
      </c>
      <c r="P158" s="36" t="s">
        <v>192</v>
      </c>
      <c r="Q158" s="36" t="s">
        <v>214</v>
      </c>
    </row>
    <row r="159" spans="1:17" ht="25.05" customHeight="1">
      <c r="A159" s="16">
        <v>45139</v>
      </c>
      <c r="B159" s="17" t="s">
        <v>163</v>
      </c>
      <c r="C159" s="17" t="s">
        <v>204</v>
      </c>
      <c r="D159" s="18" t="s">
        <v>70</v>
      </c>
      <c r="E159" s="30">
        <f>LOOKUP(EOMONTH(A159,0),'출처 및 기준'!$A$34:$A$53,'출처 및 기준'!$B$34:$B$53)</f>
        <v>3.5000000000000003E-2</v>
      </c>
      <c r="F159" s="31">
        <v>3.7400000000000003E-2</v>
      </c>
      <c r="G159" s="32">
        <v>3.6799999999999999E-2</v>
      </c>
      <c r="H159" s="19">
        <f t="shared" si="12"/>
        <v>-0.06</v>
      </c>
      <c r="I159" s="19">
        <f t="shared" si="13"/>
        <v>0.24</v>
      </c>
      <c r="J159" s="19">
        <f t="shared" si="14"/>
        <v>0.18</v>
      </c>
      <c r="K159" s="65" t="s">
        <v>205</v>
      </c>
      <c r="L159" s="33"/>
      <c r="M159" s="34" t="s">
        <v>206</v>
      </c>
      <c r="N159" s="34" t="s">
        <v>22</v>
      </c>
      <c r="O159" s="34" t="s">
        <v>247</v>
      </c>
      <c r="P159" s="34" t="s">
        <v>192</v>
      </c>
      <c r="Q159" s="34" t="s">
        <v>216</v>
      </c>
    </row>
    <row r="160" spans="1:17" ht="25.05" customHeight="1">
      <c r="A160" s="26">
        <v>45108</v>
      </c>
      <c r="B160" s="27" t="s">
        <v>163</v>
      </c>
      <c r="C160" s="27" t="s">
        <v>204</v>
      </c>
      <c r="D160" s="28" t="s">
        <v>70</v>
      </c>
      <c r="E160" s="30">
        <f>LOOKUP(EOMONTH(A160,0),'출처 및 기준'!$A$34:$A$53,'출처 및 기준'!$B$34:$B$53)</f>
        <v>3.5000000000000003E-2</v>
      </c>
      <c r="F160" s="31">
        <v>3.8100000000000002E-2</v>
      </c>
      <c r="G160" s="32">
        <v>3.5900000000000001E-2</v>
      </c>
      <c r="H160" s="19">
        <f t="shared" si="12"/>
        <v>-0.22</v>
      </c>
      <c r="I160" s="29">
        <f t="shared" si="13"/>
        <v>0.31</v>
      </c>
      <c r="J160" s="29">
        <f t="shared" si="14"/>
        <v>0.09</v>
      </c>
      <c r="K160" s="66" t="s">
        <v>205</v>
      </c>
      <c r="L160" s="35"/>
      <c r="M160" s="36" t="s">
        <v>206</v>
      </c>
      <c r="N160" s="36" t="s">
        <v>22</v>
      </c>
      <c r="O160" s="36" t="s">
        <v>248</v>
      </c>
      <c r="P160" s="36" t="s">
        <v>192</v>
      </c>
      <c r="Q160" s="36" t="s">
        <v>218</v>
      </c>
    </row>
    <row r="161" spans="1:17" ht="25.05" customHeight="1">
      <c r="A161" s="16">
        <v>45078</v>
      </c>
      <c r="B161" s="17" t="s">
        <v>163</v>
      </c>
      <c r="C161" s="17" t="s">
        <v>204</v>
      </c>
      <c r="D161" s="18" t="s">
        <v>70</v>
      </c>
      <c r="E161" s="30">
        <f>LOOKUP(EOMONTH(A161,0),'출처 및 기준'!$A$34:$A$53,'출처 및 기준'!$B$34:$B$53)</f>
        <v>3.5000000000000003E-2</v>
      </c>
      <c r="F161" s="31">
        <v>3.7599999999999995E-2</v>
      </c>
      <c r="G161" s="32">
        <v>3.4599999999999999E-2</v>
      </c>
      <c r="H161" s="19">
        <f t="shared" si="12"/>
        <v>-0.3</v>
      </c>
      <c r="I161" s="19">
        <f t="shared" si="13"/>
        <v>0.26</v>
      </c>
      <c r="J161" s="19">
        <f t="shared" si="14"/>
        <v>-0.04</v>
      </c>
      <c r="K161" s="65" t="s">
        <v>205</v>
      </c>
      <c r="L161" s="33"/>
      <c r="M161" s="34" t="s">
        <v>206</v>
      </c>
      <c r="N161" s="34" t="s">
        <v>22</v>
      </c>
      <c r="O161" s="34" t="s">
        <v>249</v>
      </c>
      <c r="P161" s="34" t="s">
        <v>192</v>
      </c>
      <c r="Q161" s="34" t="s">
        <v>220</v>
      </c>
    </row>
    <row r="162" spans="1:17" ht="25.05" customHeight="1">
      <c r="A162" s="56">
        <v>45992</v>
      </c>
      <c r="B162" s="60" t="s">
        <v>163</v>
      </c>
      <c r="C162" s="60" t="s">
        <v>250</v>
      </c>
      <c r="D162" s="61" t="s">
        <v>117</v>
      </c>
      <c r="E162" s="48">
        <f>LOOKUP(EOMONTH(A162,0),'출처 및 기준'!$A$34:$A$53,'출처 및 기준'!$B$34:$B$53)</f>
        <v>2.5000000000000001E-2</v>
      </c>
      <c r="F162" s="49">
        <v>2.8999999999999998E-2</v>
      </c>
      <c r="G162" s="50">
        <v>2.7400000000000001E-2</v>
      </c>
      <c r="H162" s="51">
        <f t="shared" ref="H162:H193" si="15">IF(COUNT(F162:G162)=2,ROUND((G162-F162)*100,2),"")</f>
        <v>-0.16</v>
      </c>
      <c r="I162" s="57">
        <f t="shared" ref="I162:I197" si="16">IF(COUNT(E162:F162)=2,ROUND((F162-E162)*100,2),"")</f>
        <v>0.4</v>
      </c>
      <c r="J162" s="57">
        <f t="shared" ref="J162:J197" si="17">IF(AND(ISNUMBER(E162),ISNUMBER(G162)),ROUND((G162-E162)*100,2),"")</f>
        <v>0.24</v>
      </c>
      <c r="K162" s="68" t="s">
        <v>118</v>
      </c>
      <c r="L162" s="58" t="s">
        <v>251</v>
      </c>
      <c r="M162" s="59" t="s">
        <v>252</v>
      </c>
      <c r="N162" s="59" t="s">
        <v>22</v>
      </c>
      <c r="O162" s="59" t="s">
        <v>253</v>
      </c>
      <c r="P162" s="59" t="s">
        <v>166</v>
      </c>
      <c r="Q162" s="59" t="s">
        <v>74</v>
      </c>
    </row>
    <row r="163" spans="1:17" ht="25.05" customHeight="1">
      <c r="A163" s="16">
        <v>45962</v>
      </c>
      <c r="B163" s="17" t="s">
        <v>163</v>
      </c>
      <c r="C163" s="17" t="s">
        <v>250</v>
      </c>
      <c r="D163" s="18" t="s">
        <v>117</v>
      </c>
      <c r="E163" s="30">
        <f>LOOKUP(EOMONTH(A163,0),'출처 및 기준'!$A$34:$A$53,'출처 및 기준'!$B$34:$B$53)</f>
        <v>2.5000000000000001E-2</v>
      </c>
      <c r="F163" s="31">
        <v>2.7999999999999997E-2</v>
      </c>
      <c r="G163" s="32">
        <v>2.64E-2</v>
      </c>
      <c r="H163" s="19">
        <f t="shared" si="15"/>
        <v>-0.16</v>
      </c>
      <c r="I163" s="19">
        <f t="shared" si="16"/>
        <v>0.3</v>
      </c>
      <c r="J163" s="19">
        <f t="shared" si="17"/>
        <v>0.14000000000000001</v>
      </c>
      <c r="K163" s="65" t="s">
        <v>118</v>
      </c>
      <c r="L163" s="33" t="s">
        <v>251</v>
      </c>
      <c r="M163" s="34" t="s">
        <v>252</v>
      </c>
      <c r="N163" s="34" t="s">
        <v>22</v>
      </c>
      <c r="O163" s="34" t="s">
        <v>254</v>
      </c>
      <c r="P163" s="34" t="s">
        <v>166</v>
      </c>
      <c r="Q163" s="34" t="s">
        <v>76</v>
      </c>
    </row>
    <row r="164" spans="1:17" ht="25.05" customHeight="1">
      <c r="A164" s="26">
        <v>45931</v>
      </c>
      <c r="B164" s="27" t="s">
        <v>163</v>
      </c>
      <c r="C164" s="27" t="s">
        <v>250</v>
      </c>
      <c r="D164" s="28" t="s">
        <v>117</v>
      </c>
      <c r="E164" s="30">
        <f>LOOKUP(EOMONTH(A164,0),'출처 및 기준'!$A$34:$A$53,'출처 및 기준'!$B$34:$B$53)</f>
        <v>2.5000000000000001E-2</v>
      </c>
      <c r="F164" s="31">
        <v>2.5600000000000001E-2</v>
      </c>
      <c r="G164" s="32">
        <v>2.4799999999999999E-2</v>
      </c>
      <c r="H164" s="19">
        <f t="shared" si="15"/>
        <v>-0.08</v>
      </c>
      <c r="I164" s="29">
        <f t="shared" si="16"/>
        <v>0.06</v>
      </c>
      <c r="J164" s="29">
        <f t="shared" si="17"/>
        <v>-0.02</v>
      </c>
      <c r="K164" s="66" t="s">
        <v>118</v>
      </c>
      <c r="L164" s="35" t="s">
        <v>251</v>
      </c>
      <c r="M164" s="36" t="s">
        <v>252</v>
      </c>
      <c r="N164" s="36" t="s">
        <v>22</v>
      </c>
      <c r="O164" s="36" t="s">
        <v>255</v>
      </c>
      <c r="P164" s="36" t="s">
        <v>166</v>
      </c>
      <c r="Q164" s="36" t="s">
        <v>78</v>
      </c>
    </row>
    <row r="165" spans="1:17" ht="25.05" customHeight="1">
      <c r="A165" s="16">
        <v>45901</v>
      </c>
      <c r="B165" s="17" t="s">
        <v>163</v>
      </c>
      <c r="C165" s="17" t="s">
        <v>250</v>
      </c>
      <c r="D165" s="18" t="s">
        <v>117</v>
      </c>
      <c r="E165" s="30">
        <f>LOOKUP(EOMONTH(A165,0),'출처 및 기준'!$A$34:$A$53,'출처 및 기준'!$B$34:$B$53)</f>
        <v>2.5000000000000001E-2</v>
      </c>
      <c r="F165" s="31">
        <v>2.52E-2</v>
      </c>
      <c r="G165" s="32">
        <v>2.4300000000000002E-2</v>
      </c>
      <c r="H165" s="19">
        <f t="shared" si="15"/>
        <v>-0.09</v>
      </c>
      <c r="I165" s="19">
        <f t="shared" si="16"/>
        <v>0.02</v>
      </c>
      <c r="J165" s="19">
        <f t="shared" si="17"/>
        <v>-7.0000000000000007E-2</v>
      </c>
      <c r="K165" s="65" t="s">
        <v>118</v>
      </c>
      <c r="L165" s="33" t="s">
        <v>251</v>
      </c>
      <c r="M165" s="34" t="s">
        <v>252</v>
      </c>
      <c r="N165" s="34" t="s">
        <v>22</v>
      </c>
      <c r="O165" s="34" t="s">
        <v>256</v>
      </c>
      <c r="P165" s="34" t="s">
        <v>166</v>
      </c>
      <c r="Q165" s="34" t="s">
        <v>80</v>
      </c>
    </row>
    <row r="166" spans="1:17" ht="25.05" customHeight="1">
      <c r="A166" s="26">
        <v>45870</v>
      </c>
      <c r="B166" s="27" t="s">
        <v>163</v>
      </c>
      <c r="C166" s="27" t="s">
        <v>250</v>
      </c>
      <c r="D166" s="28" t="s">
        <v>117</v>
      </c>
      <c r="E166" s="30">
        <f>LOOKUP(EOMONTH(A166,0),'출처 및 기준'!$A$34:$A$53,'출처 및 기준'!$B$34:$B$53)</f>
        <v>2.5000000000000001E-2</v>
      </c>
      <c r="F166" s="31">
        <v>2.4900000000000002E-2</v>
      </c>
      <c r="G166" s="32">
        <v>2.4500000000000001E-2</v>
      </c>
      <c r="H166" s="19">
        <f t="shared" si="15"/>
        <v>-0.04</v>
      </c>
      <c r="I166" s="29">
        <f t="shared" si="16"/>
        <v>-0.01</v>
      </c>
      <c r="J166" s="29">
        <f t="shared" si="17"/>
        <v>-0.05</v>
      </c>
      <c r="K166" s="66" t="s">
        <v>118</v>
      </c>
      <c r="L166" s="35" t="s">
        <v>251</v>
      </c>
      <c r="M166" s="36" t="s">
        <v>252</v>
      </c>
      <c r="N166" s="36" t="s">
        <v>22</v>
      </c>
      <c r="O166" s="36" t="s">
        <v>257</v>
      </c>
      <c r="P166" s="36" t="s">
        <v>166</v>
      </c>
      <c r="Q166" s="36" t="s">
        <v>82</v>
      </c>
    </row>
    <row r="167" spans="1:17" ht="25.05" customHeight="1">
      <c r="A167" s="16">
        <v>45839</v>
      </c>
      <c r="B167" s="17" t="s">
        <v>163</v>
      </c>
      <c r="C167" s="17" t="s">
        <v>250</v>
      </c>
      <c r="D167" s="18" t="s">
        <v>117</v>
      </c>
      <c r="E167" s="30">
        <f>LOOKUP(EOMONTH(A167,0),'출처 및 기준'!$A$34:$A$53,'출처 및 기준'!$B$34:$B$53)</f>
        <v>2.5000000000000001E-2</v>
      </c>
      <c r="F167" s="31">
        <v>2.5099999999999997E-2</v>
      </c>
      <c r="G167" s="32">
        <v>2.41E-2</v>
      </c>
      <c r="H167" s="19">
        <f t="shared" si="15"/>
        <v>-0.1</v>
      </c>
      <c r="I167" s="19">
        <f t="shared" si="16"/>
        <v>0.01</v>
      </c>
      <c r="J167" s="19">
        <f t="shared" si="17"/>
        <v>-0.09</v>
      </c>
      <c r="K167" s="65" t="s">
        <v>118</v>
      </c>
      <c r="L167" s="33" t="s">
        <v>251</v>
      </c>
      <c r="M167" s="34" t="s">
        <v>252</v>
      </c>
      <c r="N167" s="34" t="s">
        <v>22</v>
      </c>
      <c r="O167" s="34" t="s">
        <v>258</v>
      </c>
      <c r="P167" s="34" t="s">
        <v>166</v>
      </c>
      <c r="Q167" s="34" t="s">
        <v>84</v>
      </c>
    </row>
    <row r="168" spans="1:17" ht="25.05" customHeight="1">
      <c r="A168" s="26">
        <v>45809</v>
      </c>
      <c r="B168" s="27" t="s">
        <v>163</v>
      </c>
      <c r="C168" s="27" t="s">
        <v>250</v>
      </c>
      <c r="D168" s="28" t="s">
        <v>117</v>
      </c>
      <c r="E168" s="30">
        <f>LOOKUP(EOMONTH(A168,0),'출처 및 기준'!$A$34:$A$53,'출처 및 기준'!$B$34:$B$53)</f>
        <v>2.5000000000000001E-2</v>
      </c>
      <c r="F168" s="31">
        <v>2.5499999999999998E-2</v>
      </c>
      <c r="G168" s="32">
        <v>2.52E-2</v>
      </c>
      <c r="H168" s="19">
        <f t="shared" si="15"/>
        <v>-0.03</v>
      </c>
      <c r="I168" s="29">
        <f t="shared" si="16"/>
        <v>0.05</v>
      </c>
      <c r="J168" s="29">
        <f t="shared" si="17"/>
        <v>0.02</v>
      </c>
      <c r="K168" s="66" t="s">
        <v>118</v>
      </c>
      <c r="L168" s="35" t="s">
        <v>251</v>
      </c>
      <c r="M168" s="36" t="s">
        <v>252</v>
      </c>
      <c r="N168" s="36" t="s">
        <v>22</v>
      </c>
      <c r="O168" s="36" t="s">
        <v>259</v>
      </c>
      <c r="P168" s="36" t="s">
        <v>166</v>
      </c>
      <c r="Q168" s="36" t="s">
        <v>86</v>
      </c>
    </row>
    <row r="169" spans="1:17" ht="25.05" customHeight="1">
      <c r="A169" s="16">
        <v>45778</v>
      </c>
      <c r="B169" s="17" t="s">
        <v>163</v>
      </c>
      <c r="C169" s="17" t="s">
        <v>250</v>
      </c>
      <c r="D169" s="18" t="s">
        <v>117</v>
      </c>
      <c r="E169" s="30">
        <f>LOOKUP(EOMONTH(A169,0),'출처 및 기준'!$A$34:$A$53,'출처 및 기준'!$B$34:$B$53)</f>
        <v>2.5000000000000001E-2</v>
      </c>
      <c r="F169" s="31">
        <v>2.64E-2</v>
      </c>
      <c r="G169" s="32">
        <v>2.6000000000000002E-2</v>
      </c>
      <c r="H169" s="19">
        <f t="shared" si="15"/>
        <v>-0.04</v>
      </c>
      <c r="I169" s="19">
        <f t="shared" si="16"/>
        <v>0.14000000000000001</v>
      </c>
      <c r="J169" s="19">
        <f t="shared" si="17"/>
        <v>0.1</v>
      </c>
      <c r="K169" s="65" t="s">
        <v>118</v>
      </c>
      <c r="L169" s="33" t="s">
        <v>251</v>
      </c>
      <c r="M169" s="34" t="s">
        <v>252</v>
      </c>
      <c r="N169" s="34" t="s">
        <v>22</v>
      </c>
      <c r="O169" s="34" t="s">
        <v>260</v>
      </c>
      <c r="P169" s="34" t="s">
        <v>166</v>
      </c>
      <c r="Q169" s="34" t="s">
        <v>88</v>
      </c>
    </row>
    <row r="170" spans="1:17" ht="25.05" customHeight="1">
      <c r="A170" s="26">
        <v>45748</v>
      </c>
      <c r="B170" s="27" t="s">
        <v>163</v>
      </c>
      <c r="C170" s="27" t="s">
        <v>250</v>
      </c>
      <c r="D170" s="28" t="s">
        <v>117</v>
      </c>
      <c r="E170" s="30">
        <f>LOOKUP(EOMONTH(A170,0),'출처 및 기준'!$A$34:$A$53,'출처 및 기준'!$B$34:$B$53)</f>
        <v>2.75E-2</v>
      </c>
      <c r="F170" s="31">
        <v>2.7200000000000002E-2</v>
      </c>
      <c r="G170" s="32">
        <v>2.6800000000000001E-2</v>
      </c>
      <c r="H170" s="19">
        <f t="shared" si="15"/>
        <v>-0.04</v>
      </c>
      <c r="I170" s="29">
        <f t="shared" si="16"/>
        <v>-0.03</v>
      </c>
      <c r="J170" s="29">
        <f t="shared" si="17"/>
        <v>-7.0000000000000007E-2</v>
      </c>
      <c r="K170" s="66" t="s">
        <v>118</v>
      </c>
      <c r="L170" s="35" t="s">
        <v>251</v>
      </c>
      <c r="M170" s="36" t="s">
        <v>252</v>
      </c>
      <c r="N170" s="36" t="s">
        <v>22</v>
      </c>
      <c r="O170" s="36" t="s">
        <v>261</v>
      </c>
      <c r="P170" s="36" t="s">
        <v>166</v>
      </c>
      <c r="Q170" s="36" t="s">
        <v>90</v>
      </c>
    </row>
    <row r="171" spans="1:17" ht="25.05" customHeight="1">
      <c r="A171" s="16">
        <v>45717</v>
      </c>
      <c r="B171" s="17" t="s">
        <v>163</v>
      </c>
      <c r="C171" s="17" t="s">
        <v>250</v>
      </c>
      <c r="D171" s="18" t="s">
        <v>117</v>
      </c>
      <c r="E171" s="30">
        <f>LOOKUP(EOMONTH(A171,0),'출처 및 기준'!$A$34:$A$53,'출처 및 기준'!$B$34:$B$53)</f>
        <v>2.75E-2</v>
      </c>
      <c r="F171" s="31">
        <v>2.8300000000000002E-2</v>
      </c>
      <c r="G171" s="32">
        <v>2.7900000000000001E-2</v>
      </c>
      <c r="H171" s="19">
        <f t="shared" si="15"/>
        <v>-0.04</v>
      </c>
      <c r="I171" s="19">
        <f t="shared" si="16"/>
        <v>0.08</v>
      </c>
      <c r="J171" s="19">
        <f t="shared" si="17"/>
        <v>0.04</v>
      </c>
      <c r="K171" s="65" t="s">
        <v>118</v>
      </c>
      <c r="L171" s="33" t="s">
        <v>251</v>
      </c>
      <c r="M171" s="34" t="s">
        <v>252</v>
      </c>
      <c r="N171" s="34" t="s">
        <v>22</v>
      </c>
      <c r="O171" s="34" t="s">
        <v>262</v>
      </c>
      <c r="P171" s="34" t="s">
        <v>166</v>
      </c>
      <c r="Q171" s="34" t="s">
        <v>92</v>
      </c>
    </row>
    <row r="172" spans="1:17" ht="25.05" customHeight="1">
      <c r="A172" s="26">
        <v>45689</v>
      </c>
      <c r="B172" s="27" t="s">
        <v>163</v>
      </c>
      <c r="C172" s="27" t="s">
        <v>250</v>
      </c>
      <c r="D172" s="28" t="s">
        <v>117</v>
      </c>
      <c r="E172" s="30">
        <f>LOOKUP(EOMONTH(A172,0),'출처 및 기준'!$A$34:$A$53,'출처 및 기준'!$B$34:$B$53)</f>
        <v>2.75E-2</v>
      </c>
      <c r="F172" s="31">
        <v>2.9700000000000001E-2</v>
      </c>
      <c r="G172" s="32">
        <v>2.9399999999999999E-2</v>
      </c>
      <c r="H172" s="19">
        <f t="shared" si="15"/>
        <v>-0.03</v>
      </c>
      <c r="I172" s="29">
        <f t="shared" si="16"/>
        <v>0.22</v>
      </c>
      <c r="J172" s="29">
        <f t="shared" si="17"/>
        <v>0.19</v>
      </c>
      <c r="K172" s="66" t="s">
        <v>118</v>
      </c>
      <c r="L172" s="35" t="s">
        <v>251</v>
      </c>
      <c r="M172" s="36" t="s">
        <v>252</v>
      </c>
      <c r="N172" s="36" t="s">
        <v>22</v>
      </c>
      <c r="O172" s="36" t="s">
        <v>263</v>
      </c>
      <c r="P172" s="36" t="s">
        <v>166</v>
      </c>
      <c r="Q172" s="36" t="s">
        <v>94</v>
      </c>
    </row>
    <row r="173" spans="1:17" ht="25.05" customHeight="1">
      <c r="A173" s="16">
        <v>45658</v>
      </c>
      <c r="B173" s="17" t="s">
        <v>163</v>
      </c>
      <c r="C173" s="17" t="s">
        <v>250</v>
      </c>
      <c r="D173" s="18" t="s">
        <v>117</v>
      </c>
      <c r="E173" s="30">
        <f>LOOKUP(EOMONTH(A173,0),'출처 및 기준'!$A$34:$A$53,'출처 및 기준'!$B$34:$B$53)</f>
        <v>0.03</v>
      </c>
      <c r="F173" s="31">
        <v>3.0800000000000001E-2</v>
      </c>
      <c r="G173" s="32">
        <v>2.9600000000000001E-2</v>
      </c>
      <c r="H173" s="19">
        <f t="shared" si="15"/>
        <v>-0.12</v>
      </c>
      <c r="I173" s="19">
        <f t="shared" si="16"/>
        <v>0.08</v>
      </c>
      <c r="J173" s="19">
        <f t="shared" si="17"/>
        <v>-0.04</v>
      </c>
      <c r="K173" s="65" t="s">
        <v>118</v>
      </c>
      <c r="L173" s="33" t="s">
        <v>251</v>
      </c>
      <c r="M173" s="34" t="s">
        <v>252</v>
      </c>
      <c r="N173" s="34" t="s">
        <v>22</v>
      </c>
      <c r="O173" s="34" t="s">
        <v>264</v>
      </c>
      <c r="P173" s="34" t="s">
        <v>166</v>
      </c>
      <c r="Q173" s="34" t="s">
        <v>96</v>
      </c>
    </row>
    <row r="174" spans="1:17" ht="25.05" customHeight="1">
      <c r="A174" s="26">
        <v>45627</v>
      </c>
      <c r="B174" s="27" t="s">
        <v>163</v>
      </c>
      <c r="C174" s="27" t="s">
        <v>250</v>
      </c>
      <c r="D174" s="28" t="s">
        <v>117</v>
      </c>
      <c r="E174" s="30">
        <f>LOOKUP(EOMONTH(A174,0),'출처 및 기준'!$A$34:$A$53,'출처 및 기준'!$B$34:$B$53)</f>
        <v>0.03</v>
      </c>
      <c r="F174" s="31">
        <v>3.2199999999999999E-2</v>
      </c>
      <c r="G174" s="32">
        <v>3.15E-2</v>
      </c>
      <c r="H174" s="19">
        <f t="shared" si="15"/>
        <v>-7.0000000000000007E-2</v>
      </c>
      <c r="I174" s="29">
        <f t="shared" si="16"/>
        <v>0.22</v>
      </c>
      <c r="J174" s="29">
        <f t="shared" si="17"/>
        <v>0.15</v>
      </c>
      <c r="K174" s="66" t="s">
        <v>118</v>
      </c>
      <c r="L174" s="35" t="s">
        <v>251</v>
      </c>
      <c r="M174" s="36" t="s">
        <v>252</v>
      </c>
      <c r="N174" s="36" t="s">
        <v>22</v>
      </c>
      <c r="O174" s="36" t="s">
        <v>265</v>
      </c>
      <c r="P174" s="36" t="s">
        <v>179</v>
      </c>
      <c r="Q174" s="36" t="s">
        <v>74</v>
      </c>
    </row>
    <row r="175" spans="1:17" ht="25.05" customHeight="1">
      <c r="A175" s="16">
        <v>45597</v>
      </c>
      <c r="B175" s="17" t="s">
        <v>163</v>
      </c>
      <c r="C175" s="17" t="s">
        <v>250</v>
      </c>
      <c r="D175" s="18" t="s">
        <v>117</v>
      </c>
      <c r="E175" s="30">
        <f>LOOKUP(EOMONTH(A175,0),'출처 및 기준'!$A$34:$A$53,'출처 및 기준'!$B$34:$B$53)</f>
        <v>0.03</v>
      </c>
      <c r="F175" s="31">
        <v>3.3599999999999998E-2</v>
      </c>
      <c r="G175" s="32">
        <v>3.2400000000000005E-2</v>
      </c>
      <c r="H175" s="19">
        <f t="shared" si="15"/>
        <v>-0.12</v>
      </c>
      <c r="I175" s="19">
        <f t="shared" si="16"/>
        <v>0.36</v>
      </c>
      <c r="J175" s="19">
        <f t="shared" si="17"/>
        <v>0.24</v>
      </c>
      <c r="K175" s="65" t="s">
        <v>118</v>
      </c>
      <c r="L175" s="33" t="s">
        <v>251</v>
      </c>
      <c r="M175" s="34" t="s">
        <v>252</v>
      </c>
      <c r="N175" s="34" t="s">
        <v>22</v>
      </c>
      <c r="O175" s="34" t="s">
        <v>266</v>
      </c>
      <c r="P175" s="34" t="s">
        <v>179</v>
      </c>
      <c r="Q175" s="34" t="s">
        <v>76</v>
      </c>
    </row>
    <row r="176" spans="1:17" ht="25.05" customHeight="1">
      <c r="A176" s="26">
        <v>45566</v>
      </c>
      <c r="B176" s="27" t="s">
        <v>163</v>
      </c>
      <c r="C176" s="27" t="s">
        <v>250</v>
      </c>
      <c r="D176" s="28" t="s">
        <v>117</v>
      </c>
      <c r="E176" s="30">
        <f>LOOKUP(EOMONTH(A176,0),'출처 및 기준'!$A$34:$A$53,'출처 및 기준'!$B$34:$B$53)</f>
        <v>3.2500000000000001E-2</v>
      </c>
      <c r="F176" s="31">
        <v>3.3799999999999997E-2</v>
      </c>
      <c r="G176" s="32">
        <v>3.3799999999999997E-2</v>
      </c>
      <c r="H176" s="19">
        <f t="shared" si="15"/>
        <v>0</v>
      </c>
      <c r="I176" s="29">
        <f t="shared" si="16"/>
        <v>0.13</v>
      </c>
      <c r="J176" s="29">
        <f t="shared" si="17"/>
        <v>0.13</v>
      </c>
      <c r="K176" s="66" t="s">
        <v>118</v>
      </c>
      <c r="L176" s="35" t="s">
        <v>251</v>
      </c>
      <c r="M176" s="36" t="s">
        <v>252</v>
      </c>
      <c r="N176" s="36" t="s">
        <v>22</v>
      </c>
      <c r="O176" s="36" t="s">
        <v>267</v>
      </c>
      <c r="P176" s="36" t="s">
        <v>179</v>
      </c>
      <c r="Q176" s="36" t="s">
        <v>78</v>
      </c>
    </row>
    <row r="177" spans="1:17" ht="25.05" customHeight="1">
      <c r="A177" s="16">
        <v>45536</v>
      </c>
      <c r="B177" s="17" t="s">
        <v>163</v>
      </c>
      <c r="C177" s="17" t="s">
        <v>250</v>
      </c>
      <c r="D177" s="18" t="s">
        <v>117</v>
      </c>
      <c r="E177" s="30">
        <f>LOOKUP(EOMONTH(A177,0),'출처 및 기준'!$A$34:$A$53,'출처 및 기준'!$B$34:$B$53)</f>
        <v>3.5000000000000003E-2</v>
      </c>
      <c r="F177" s="31">
        <v>3.4200000000000001E-2</v>
      </c>
      <c r="G177" s="32">
        <v>3.2500000000000001E-2</v>
      </c>
      <c r="H177" s="19">
        <f t="shared" si="15"/>
        <v>-0.17</v>
      </c>
      <c r="I177" s="19">
        <f t="shared" si="16"/>
        <v>-0.08</v>
      </c>
      <c r="J177" s="19">
        <f t="shared" si="17"/>
        <v>-0.25</v>
      </c>
      <c r="K177" s="65" t="s">
        <v>118</v>
      </c>
      <c r="L177" s="33" t="s">
        <v>251</v>
      </c>
      <c r="M177" s="34" t="s">
        <v>252</v>
      </c>
      <c r="N177" s="34" t="s">
        <v>22</v>
      </c>
      <c r="O177" s="34" t="s">
        <v>268</v>
      </c>
      <c r="P177" s="34" t="s">
        <v>179</v>
      </c>
      <c r="Q177" s="34" t="s">
        <v>80</v>
      </c>
    </row>
    <row r="178" spans="1:17" ht="25.05" customHeight="1">
      <c r="A178" s="26">
        <v>45505</v>
      </c>
      <c r="B178" s="27" t="s">
        <v>163</v>
      </c>
      <c r="C178" s="27" t="s">
        <v>250</v>
      </c>
      <c r="D178" s="28" t="s">
        <v>117</v>
      </c>
      <c r="E178" s="30">
        <f>LOOKUP(EOMONTH(A178,0),'출처 및 기준'!$A$34:$A$53,'출처 및 기준'!$B$34:$B$53)</f>
        <v>3.5000000000000003E-2</v>
      </c>
      <c r="F178" s="31">
        <v>3.3700000000000001E-2</v>
      </c>
      <c r="G178" s="32">
        <v>3.32E-2</v>
      </c>
      <c r="H178" s="19">
        <f t="shared" si="15"/>
        <v>-0.05</v>
      </c>
      <c r="I178" s="29">
        <f t="shared" si="16"/>
        <v>-0.13</v>
      </c>
      <c r="J178" s="29">
        <f t="shared" si="17"/>
        <v>-0.18</v>
      </c>
      <c r="K178" s="66" t="s">
        <v>118</v>
      </c>
      <c r="L178" s="35" t="s">
        <v>251</v>
      </c>
      <c r="M178" s="36" t="s">
        <v>252</v>
      </c>
      <c r="N178" s="36" t="s">
        <v>22</v>
      </c>
      <c r="O178" s="36" t="s">
        <v>269</v>
      </c>
      <c r="P178" s="36" t="s">
        <v>179</v>
      </c>
      <c r="Q178" s="36" t="s">
        <v>82</v>
      </c>
    </row>
    <row r="179" spans="1:17" ht="25.05" customHeight="1">
      <c r="A179" s="16">
        <v>45474</v>
      </c>
      <c r="B179" s="17" t="s">
        <v>163</v>
      </c>
      <c r="C179" s="17" t="s">
        <v>250</v>
      </c>
      <c r="D179" s="18" t="s">
        <v>117</v>
      </c>
      <c r="E179" s="30">
        <f>LOOKUP(EOMONTH(A179,0),'출처 및 기준'!$A$34:$A$53,'출처 및 기준'!$B$34:$B$53)</f>
        <v>3.5000000000000003E-2</v>
      </c>
      <c r="F179" s="31">
        <v>3.4200000000000001E-2</v>
      </c>
      <c r="G179" s="32">
        <v>3.4000000000000002E-2</v>
      </c>
      <c r="H179" s="19">
        <f t="shared" si="15"/>
        <v>-0.02</v>
      </c>
      <c r="I179" s="19">
        <f t="shared" si="16"/>
        <v>-0.08</v>
      </c>
      <c r="J179" s="19">
        <f t="shared" si="17"/>
        <v>-0.1</v>
      </c>
      <c r="K179" s="65" t="s">
        <v>118</v>
      </c>
      <c r="L179" s="33" t="s">
        <v>251</v>
      </c>
      <c r="M179" s="34" t="s">
        <v>252</v>
      </c>
      <c r="N179" s="34" t="s">
        <v>22</v>
      </c>
      <c r="O179" s="34" t="s">
        <v>270</v>
      </c>
      <c r="P179" s="34" t="s">
        <v>179</v>
      </c>
      <c r="Q179" s="34" t="s">
        <v>84</v>
      </c>
    </row>
    <row r="180" spans="1:17" ht="25.05" customHeight="1">
      <c r="A180" s="26">
        <v>45444</v>
      </c>
      <c r="B180" s="27" t="s">
        <v>163</v>
      </c>
      <c r="C180" s="27" t="s">
        <v>250</v>
      </c>
      <c r="D180" s="28" t="s">
        <v>117</v>
      </c>
      <c r="E180" s="30">
        <f>LOOKUP(EOMONTH(A180,0),'출처 및 기준'!$A$34:$A$53,'출처 및 기준'!$B$34:$B$53)</f>
        <v>3.5000000000000003E-2</v>
      </c>
      <c r="F180" s="31">
        <v>3.5000000000000003E-2</v>
      </c>
      <c r="G180" s="32">
        <v>3.4500000000000003E-2</v>
      </c>
      <c r="H180" s="19">
        <f t="shared" si="15"/>
        <v>-0.05</v>
      </c>
      <c r="I180" s="29">
        <f t="shared" si="16"/>
        <v>0</v>
      </c>
      <c r="J180" s="29">
        <f t="shared" si="17"/>
        <v>-0.05</v>
      </c>
      <c r="K180" s="66" t="s">
        <v>118</v>
      </c>
      <c r="L180" s="35" t="s">
        <v>251</v>
      </c>
      <c r="M180" s="36" t="s">
        <v>252</v>
      </c>
      <c r="N180" s="36" t="s">
        <v>22</v>
      </c>
      <c r="O180" s="36" t="s">
        <v>271</v>
      </c>
      <c r="P180" s="36" t="s">
        <v>179</v>
      </c>
      <c r="Q180" s="36" t="s">
        <v>86</v>
      </c>
    </row>
    <row r="181" spans="1:17" ht="25.05" customHeight="1">
      <c r="A181" s="16">
        <v>45413</v>
      </c>
      <c r="B181" s="17" t="s">
        <v>163</v>
      </c>
      <c r="C181" s="17" t="s">
        <v>250</v>
      </c>
      <c r="D181" s="18" t="s">
        <v>117</v>
      </c>
      <c r="E181" s="30">
        <f>LOOKUP(EOMONTH(A181,0),'출처 및 기준'!$A$34:$A$53,'출처 및 기준'!$B$34:$B$53)</f>
        <v>3.5000000000000003E-2</v>
      </c>
      <c r="F181" s="31">
        <v>3.5400000000000001E-2</v>
      </c>
      <c r="G181" s="32">
        <v>3.5499999999999997E-2</v>
      </c>
      <c r="H181" s="19">
        <f t="shared" si="15"/>
        <v>0.01</v>
      </c>
      <c r="I181" s="19">
        <f t="shared" si="16"/>
        <v>0.04</v>
      </c>
      <c r="J181" s="19">
        <f t="shared" si="17"/>
        <v>0.05</v>
      </c>
      <c r="K181" s="65" t="s">
        <v>118</v>
      </c>
      <c r="L181" s="33" t="s">
        <v>251</v>
      </c>
      <c r="M181" s="34" t="s">
        <v>252</v>
      </c>
      <c r="N181" s="34" t="s">
        <v>22</v>
      </c>
      <c r="O181" s="34" t="s">
        <v>272</v>
      </c>
      <c r="P181" s="34" t="s">
        <v>179</v>
      </c>
      <c r="Q181" s="34" t="s">
        <v>88</v>
      </c>
    </row>
    <row r="182" spans="1:17" ht="25.05" customHeight="1">
      <c r="A182" s="26">
        <v>45383</v>
      </c>
      <c r="B182" s="27" t="s">
        <v>163</v>
      </c>
      <c r="C182" s="27" t="s">
        <v>250</v>
      </c>
      <c r="D182" s="28" t="s">
        <v>117</v>
      </c>
      <c r="E182" s="30">
        <f>LOOKUP(EOMONTH(A182,0),'출처 및 기준'!$A$34:$A$53,'출처 및 기준'!$B$34:$B$53)</f>
        <v>3.5000000000000003E-2</v>
      </c>
      <c r="F182" s="31">
        <v>3.5200000000000002E-2</v>
      </c>
      <c r="G182" s="32">
        <v>3.49E-2</v>
      </c>
      <c r="H182" s="19">
        <f t="shared" si="15"/>
        <v>-0.03</v>
      </c>
      <c r="I182" s="29">
        <f t="shared" si="16"/>
        <v>0.02</v>
      </c>
      <c r="J182" s="29">
        <f t="shared" si="17"/>
        <v>-0.01</v>
      </c>
      <c r="K182" s="66" t="s">
        <v>118</v>
      </c>
      <c r="L182" s="35" t="s">
        <v>251</v>
      </c>
      <c r="M182" s="36" t="s">
        <v>252</v>
      </c>
      <c r="N182" s="36" t="s">
        <v>22</v>
      </c>
      <c r="O182" s="36" t="s">
        <v>273</v>
      </c>
      <c r="P182" s="36" t="s">
        <v>179</v>
      </c>
      <c r="Q182" s="36" t="s">
        <v>90</v>
      </c>
    </row>
    <row r="183" spans="1:17" ht="25.05" customHeight="1">
      <c r="A183" s="16">
        <v>45352</v>
      </c>
      <c r="B183" s="17" t="s">
        <v>163</v>
      </c>
      <c r="C183" s="17" t="s">
        <v>250</v>
      </c>
      <c r="D183" s="18" t="s">
        <v>117</v>
      </c>
      <c r="E183" s="30">
        <f>LOOKUP(EOMONTH(A183,0),'출처 및 기준'!$A$34:$A$53,'출처 및 기준'!$B$34:$B$53)</f>
        <v>3.5000000000000003E-2</v>
      </c>
      <c r="F183" s="31">
        <v>3.56E-2</v>
      </c>
      <c r="G183" s="32">
        <v>3.4799999999999998E-2</v>
      </c>
      <c r="H183" s="19">
        <f t="shared" si="15"/>
        <v>-0.08</v>
      </c>
      <c r="I183" s="19">
        <f t="shared" si="16"/>
        <v>0.06</v>
      </c>
      <c r="J183" s="19">
        <f t="shared" si="17"/>
        <v>-0.02</v>
      </c>
      <c r="K183" s="65" t="s">
        <v>118</v>
      </c>
      <c r="L183" s="33" t="s">
        <v>251</v>
      </c>
      <c r="M183" s="34" t="s">
        <v>252</v>
      </c>
      <c r="N183" s="34" t="s">
        <v>22</v>
      </c>
      <c r="O183" s="34" t="s">
        <v>274</v>
      </c>
      <c r="P183" s="34" t="s">
        <v>179</v>
      </c>
      <c r="Q183" s="34" t="s">
        <v>92</v>
      </c>
    </row>
    <row r="184" spans="1:17" ht="25.05" customHeight="1">
      <c r="A184" s="26">
        <v>45323</v>
      </c>
      <c r="B184" s="27" t="s">
        <v>163</v>
      </c>
      <c r="C184" s="27" t="s">
        <v>250</v>
      </c>
      <c r="D184" s="28" t="s">
        <v>117</v>
      </c>
      <c r="E184" s="30">
        <f>LOOKUP(EOMONTH(A184,0),'출처 및 기준'!$A$34:$A$53,'출처 및 기준'!$B$34:$B$53)</f>
        <v>3.5000000000000003E-2</v>
      </c>
      <c r="F184" s="31">
        <v>3.61E-2</v>
      </c>
      <c r="G184" s="32">
        <v>3.5499999999999997E-2</v>
      </c>
      <c r="H184" s="19">
        <f t="shared" si="15"/>
        <v>-0.06</v>
      </c>
      <c r="I184" s="29">
        <f t="shared" si="16"/>
        <v>0.11</v>
      </c>
      <c r="J184" s="29">
        <f t="shared" si="17"/>
        <v>0.05</v>
      </c>
      <c r="K184" s="66" t="s">
        <v>118</v>
      </c>
      <c r="L184" s="35" t="s">
        <v>251</v>
      </c>
      <c r="M184" s="36" t="s">
        <v>252</v>
      </c>
      <c r="N184" s="36" t="s">
        <v>22</v>
      </c>
      <c r="O184" s="36" t="s">
        <v>275</v>
      </c>
      <c r="P184" s="36" t="s">
        <v>179</v>
      </c>
      <c r="Q184" s="36" t="s">
        <v>94</v>
      </c>
    </row>
    <row r="185" spans="1:17" ht="25.05" customHeight="1">
      <c r="A185" s="16">
        <v>45292</v>
      </c>
      <c r="B185" s="17" t="s">
        <v>163</v>
      </c>
      <c r="C185" s="17" t="s">
        <v>250</v>
      </c>
      <c r="D185" s="18" t="s">
        <v>117</v>
      </c>
      <c r="E185" s="30">
        <f>LOOKUP(EOMONTH(A185,0),'출처 및 기준'!$A$34:$A$53,'출처 및 기준'!$B$34:$B$53)</f>
        <v>3.5000000000000003E-2</v>
      </c>
      <c r="F185" s="31">
        <v>3.6600000000000001E-2</v>
      </c>
      <c r="G185" s="32">
        <v>3.5799999999999998E-2</v>
      </c>
      <c r="H185" s="19">
        <f t="shared" si="15"/>
        <v>-0.08</v>
      </c>
      <c r="I185" s="19">
        <f t="shared" si="16"/>
        <v>0.16</v>
      </c>
      <c r="J185" s="19">
        <f t="shared" si="17"/>
        <v>0.08</v>
      </c>
      <c r="K185" s="65" t="s">
        <v>118</v>
      </c>
      <c r="L185" s="33" t="s">
        <v>251</v>
      </c>
      <c r="M185" s="34" t="s">
        <v>252</v>
      </c>
      <c r="N185" s="34" t="s">
        <v>22</v>
      </c>
      <c r="O185" s="34" t="s">
        <v>276</v>
      </c>
      <c r="P185" s="34" t="s">
        <v>179</v>
      </c>
      <c r="Q185" s="34" t="s">
        <v>96</v>
      </c>
    </row>
    <row r="186" spans="1:17" ht="25.05" customHeight="1">
      <c r="A186" s="26">
        <v>45261</v>
      </c>
      <c r="B186" s="27" t="s">
        <v>163</v>
      </c>
      <c r="C186" s="27" t="s">
        <v>250</v>
      </c>
      <c r="D186" s="28" t="s">
        <v>117</v>
      </c>
      <c r="E186" s="30">
        <f>LOOKUP(EOMONTH(A186,0),'출처 및 기준'!$A$34:$A$53,'출처 및 기준'!$B$34:$B$53)</f>
        <v>3.5000000000000003E-2</v>
      </c>
      <c r="F186" s="31">
        <v>3.8399999999999997E-2</v>
      </c>
      <c r="G186" s="32">
        <v>3.7000000000000005E-2</v>
      </c>
      <c r="H186" s="19">
        <f t="shared" si="15"/>
        <v>-0.14000000000000001</v>
      </c>
      <c r="I186" s="29">
        <f t="shared" si="16"/>
        <v>0.34</v>
      </c>
      <c r="J186" s="29">
        <f t="shared" si="17"/>
        <v>0.2</v>
      </c>
      <c r="K186" s="66" t="s">
        <v>118</v>
      </c>
      <c r="L186" s="35" t="s">
        <v>251</v>
      </c>
      <c r="M186" s="36" t="s">
        <v>252</v>
      </c>
      <c r="N186" s="36" t="s">
        <v>22</v>
      </c>
      <c r="O186" s="36" t="s">
        <v>277</v>
      </c>
      <c r="P186" s="36" t="s">
        <v>192</v>
      </c>
      <c r="Q186" s="36" t="s">
        <v>74</v>
      </c>
    </row>
    <row r="187" spans="1:17" ht="25.05" customHeight="1">
      <c r="A187" s="16">
        <v>45231</v>
      </c>
      <c r="B187" s="17" t="s">
        <v>163</v>
      </c>
      <c r="C187" s="17" t="s">
        <v>250</v>
      </c>
      <c r="D187" s="18" t="s">
        <v>117</v>
      </c>
      <c r="E187" s="30">
        <f>LOOKUP(EOMONTH(A187,0),'출처 및 기준'!$A$34:$A$53,'출처 및 기준'!$B$34:$B$53)</f>
        <v>3.5000000000000003E-2</v>
      </c>
      <c r="F187" s="31">
        <v>3.9699999999999999E-2</v>
      </c>
      <c r="G187" s="32">
        <v>4.0199999999999993E-2</v>
      </c>
      <c r="H187" s="19">
        <f t="shared" si="15"/>
        <v>0.05</v>
      </c>
      <c r="I187" s="19">
        <f t="shared" si="16"/>
        <v>0.47</v>
      </c>
      <c r="J187" s="19">
        <f t="shared" si="17"/>
        <v>0.52</v>
      </c>
      <c r="K187" s="65" t="s">
        <v>118</v>
      </c>
      <c r="L187" s="33" t="s">
        <v>251</v>
      </c>
      <c r="M187" s="34" t="s">
        <v>252</v>
      </c>
      <c r="N187" s="34" t="s">
        <v>22</v>
      </c>
      <c r="O187" s="34" t="s">
        <v>278</v>
      </c>
      <c r="P187" s="34" t="s">
        <v>192</v>
      </c>
      <c r="Q187" s="34" t="s">
        <v>76</v>
      </c>
    </row>
    <row r="188" spans="1:17" ht="25.05" customHeight="1">
      <c r="A188" s="26">
        <v>45200</v>
      </c>
      <c r="B188" s="27" t="s">
        <v>163</v>
      </c>
      <c r="C188" s="27" t="s">
        <v>250</v>
      </c>
      <c r="D188" s="28" t="s">
        <v>117</v>
      </c>
      <c r="E188" s="30">
        <f>LOOKUP(EOMONTH(A188,0),'출처 및 기준'!$A$34:$A$53,'출처 및 기준'!$B$34:$B$53)</f>
        <v>3.5000000000000003E-2</v>
      </c>
      <c r="F188" s="31">
        <v>3.9199999999999999E-2</v>
      </c>
      <c r="G188" s="32">
        <v>3.9399999999999998E-2</v>
      </c>
      <c r="H188" s="19">
        <f t="shared" si="15"/>
        <v>0.02</v>
      </c>
      <c r="I188" s="29">
        <f t="shared" si="16"/>
        <v>0.42</v>
      </c>
      <c r="J188" s="29">
        <f t="shared" si="17"/>
        <v>0.44</v>
      </c>
      <c r="K188" s="66" t="s">
        <v>118</v>
      </c>
      <c r="L188" s="35" t="s">
        <v>251</v>
      </c>
      <c r="M188" s="36" t="s">
        <v>252</v>
      </c>
      <c r="N188" s="36" t="s">
        <v>22</v>
      </c>
      <c r="O188" s="36" t="s">
        <v>279</v>
      </c>
      <c r="P188" s="36" t="s">
        <v>192</v>
      </c>
      <c r="Q188" s="36" t="s">
        <v>78</v>
      </c>
    </row>
    <row r="189" spans="1:17" ht="25.05" customHeight="1">
      <c r="A189" s="16">
        <v>45170</v>
      </c>
      <c r="B189" s="17" t="s">
        <v>163</v>
      </c>
      <c r="C189" s="17" t="s">
        <v>250</v>
      </c>
      <c r="D189" s="18" t="s">
        <v>117</v>
      </c>
      <c r="E189" s="30">
        <f>LOOKUP(EOMONTH(A189,0),'출처 및 기준'!$A$34:$A$53,'출처 및 기준'!$B$34:$B$53)</f>
        <v>3.5000000000000003E-2</v>
      </c>
      <c r="F189" s="31">
        <v>3.7699999999999997E-2</v>
      </c>
      <c r="G189" s="32">
        <v>3.6299999999999999E-2</v>
      </c>
      <c r="H189" s="19">
        <f t="shared" si="15"/>
        <v>-0.14000000000000001</v>
      </c>
      <c r="I189" s="19">
        <f t="shared" si="16"/>
        <v>0.27</v>
      </c>
      <c r="J189" s="19">
        <f t="shared" si="17"/>
        <v>0.13</v>
      </c>
      <c r="K189" s="65" t="s">
        <v>118</v>
      </c>
      <c r="L189" s="33" t="s">
        <v>251</v>
      </c>
      <c r="M189" s="34" t="s">
        <v>252</v>
      </c>
      <c r="N189" s="34" t="s">
        <v>22</v>
      </c>
      <c r="O189" s="34" t="s">
        <v>280</v>
      </c>
      <c r="P189" s="34" t="s">
        <v>192</v>
      </c>
      <c r="Q189" s="34" t="s">
        <v>80</v>
      </c>
    </row>
    <row r="190" spans="1:17" ht="25.05" customHeight="1">
      <c r="A190" s="26">
        <v>45139</v>
      </c>
      <c r="B190" s="27" t="s">
        <v>163</v>
      </c>
      <c r="C190" s="27" t="s">
        <v>250</v>
      </c>
      <c r="D190" s="28" t="s">
        <v>117</v>
      </c>
      <c r="E190" s="30">
        <f>LOOKUP(EOMONTH(A190,0),'출처 및 기준'!$A$34:$A$53,'출처 및 기준'!$B$34:$B$53)</f>
        <v>3.5000000000000003E-2</v>
      </c>
      <c r="F190" s="31">
        <v>3.61E-2</v>
      </c>
      <c r="G190" s="32">
        <v>3.5900000000000001E-2</v>
      </c>
      <c r="H190" s="19">
        <f t="shared" si="15"/>
        <v>-0.02</v>
      </c>
      <c r="I190" s="29">
        <f t="shared" si="16"/>
        <v>0.11</v>
      </c>
      <c r="J190" s="29">
        <f t="shared" si="17"/>
        <v>0.09</v>
      </c>
      <c r="K190" s="66" t="s">
        <v>118</v>
      </c>
      <c r="L190" s="35" t="s">
        <v>251</v>
      </c>
      <c r="M190" s="36" t="s">
        <v>252</v>
      </c>
      <c r="N190" s="36" t="s">
        <v>22</v>
      </c>
      <c r="O190" s="36" t="s">
        <v>281</v>
      </c>
      <c r="P190" s="36" t="s">
        <v>192</v>
      </c>
      <c r="Q190" s="36" t="s">
        <v>82</v>
      </c>
    </row>
    <row r="191" spans="1:17" ht="25.05" customHeight="1">
      <c r="A191" s="16">
        <v>45108</v>
      </c>
      <c r="B191" s="17" t="s">
        <v>163</v>
      </c>
      <c r="C191" s="17" t="s">
        <v>250</v>
      </c>
      <c r="D191" s="18" t="s">
        <v>117</v>
      </c>
      <c r="E191" s="30">
        <f>LOOKUP(EOMONTH(A191,0),'출처 및 기준'!$A$34:$A$53,'출처 및 기준'!$B$34:$B$53)</f>
        <v>3.5000000000000003E-2</v>
      </c>
      <c r="F191" s="31">
        <v>3.6499999999999998E-2</v>
      </c>
      <c r="G191" s="32">
        <v>3.5400000000000001E-2</v>
      </c>
      <c r="H191" s="19">
        <f t="shared" si="15"/>
        <v>-0.11</v>
      </c>
      <c r="I191" s="19">
        <f t="shared" si="16"/>
        <v>0.15</v>
      </c>
      <c r="J191" s="19">
        <f t="shared" si="17"/>
        <v>0.04</v>
      </c>
      <c r="K191" s="65" t="s">
        <v>118</v>
      </c>
      <c r="L191" s="33" t="s">
        <v>251</v>
      </c>
      <c r="M191" s="34" t="s">
        <v>252</v>
      </c>
      <c r="N191" s="34" t="s">
        <v>22</v>
      </c>
      <c r="O191" s="34" t="s">
        <v>282</v>
      </c>
      <c r="P191" s="34" t="s">
        <v>192</v>
      </c>
      <c r="Q191" s="34" t="s">
        <v>84</v>
      </c>
    </row>
    <row r="192" spans="1:17" ht="25.05" customHeight="1">
      <c r="A192" s="26">
        <v>45078</v>
      </c>
      <c r="B192" s="27" t="s">
        <v>163</v>
      </c>
      <c r="C192" s="27" t="s">
        <v>250</v>
      </c>
      <c r="D192" s="28" t="s">
        <v>117</v>
      </c>
      <c r="E192" s="30">
        <f>LOOKUP(EOMONTH(A192,0),'출처 및 기준'!$A$34:$A$53,'출처 및 기준'!$B$34:$B$53)</f>
        <v>3.5000000000000003E-2</v>
      </c>
      <c r="F192" s="31">
        <v>3.6600000000000001E-2</v>
      </c>
      <c r="G192" s="32">
        <v>3.3000000000000002E-2</v>
      </c>
      <c r="H192" s="19">
        <f t="shared" si="15"/>
        <v>-0.36</v>
      </c>
      <c r="I192" s="29">
        <f t="shared" si="16"/>
        <v>0.16</v>
      </c>
      <c r="J192" s="29">
        <f t="shared" si="17"/>
        <v>-0.2</v>
      </c>
      <c r="K192" s="66" t="s">
        <v>118</v>
      </c>
      <c r="L192" s="35" t="s">
        <v>251</v>
      </c>
      <c r="M192" s="36" t="s">
        <v>252</v>
      </c>
      <c r="N192" s="36" t="s">
        <v>22</v>
      </c>
      <c r="O192" s="36" t="s">
        <v>283</v>
      </c>
      <c r="P192" s="36" t="s">
        <v>192</v>
      </c>
      <c r="Q192" s="36" t="s">
        <v>86</v>
      </c>
    </row>
    <row r="193" spans="1:17" ht="25.05" customHeight="1">
      <c r="A193" s="16">
        <v>45047</v>
      </c>
      <c r="B193" s="17" t="s">
        <v>163</v>
      </c>
      <c r="C193" s="17" t="s">
        <v>250</v>
      </c>
      <c r="D193" s="18" t="s">
        <v>117</v>
      </c>
      <c r="E193" s="30">
        <f>LOOKUP(EOMONTH(A193,0),'출처 및 기준'!$A$34:$A$53,'출처 및 기준'!$B$34:$B$53)</f>
        <v>3.5000000000000003E-2</v>
      </c>
      <c r="F193" s="31">
        <v>3.5200000000000002E-2</v>
      </c>
      <c r="G193" s="32">
        <v>3.3500000000000002E-2</v>
      </c>
      <c r="H193" s="19">
        <f t="shared" si="15"/>
        <v>-0.17</v>
      </c>
      <c r="I193" s="19">
        <f t="shared" si="16"/>
        <v>0.02</v>
      </c>
      <c r="J193" s="19">
        <f t="shared" si="17"/>
        <v>-0.15</v>
      </c>
      <c r="K193" s="65" t="s">
        <v>118</v>
      </c>
      <c r="L193" s="33" t="s">
        <v>251</v>
      </c>
      <c r="M193" s="34" t="s">
        <v>252</v>
      </c>
      <c r="N193" s="34" t="s">
        <v>22</v>
      </c>
      <c r="O193" s="34" t="s">
        <v>284</v>
      </c>
      <c r="P193" s="34" t="s">
        <v>192</v>
      </c>
      <c r="Q193" s="34" t="s">
        <v>88</v>
      </c>
    </row>
    <row r="194" spans="1:17" ht="25.05" customHeight="1">
      <c r="A194" s="26">
        <v>45017</v>
      </c>
      <c r="B194" s="27" t="s">
        <v>163</v>
      </c>
      <c r="C194" s="27" t="s">
        <v>250</v>
      </c>
      <c r="D194" s="28" t="s">
        <v>117</v>
      </c>
      <c r="E194" s="30">
        <f>LOOKUP(EOMONTH(A194,0),'출처 및 기준'!$A$34:$A$53,'출처 및 기준'!$B$34:$B$53)</f>
        <v>3.5000000000000003E-2</v>
      </c>
      <c r="F194" s="31">
        <v>3.4099999999999998E-2</v>
      </c>
      <c r="G194" s="32">
        <v>3.32E-2</v>
      </c>
      <c r="H194" s="19">
        <f t="shared" ref="H194:H225" si="18">IF(COUNT(F194:G194)=2,ROUND((G194-F194)*100,2),"")</f>
        <v>-0.09</v>
      </c>
      <c r="I194" s="29">
        <f t="shared" si="16"/>
        <v>-0.09</v>
      </c>
      <c r="J194" s="29">
        <f t="shared" si="17"/>
        <v>-0.18</v>
      </c>
      <c r="K194" s="66" t="s">
        <v>118</v>
      </c>
      <c r="L194" s="35" t="s">
        <v>251</v>
      </c>
      <c r="M194" s="36" t="s">
        <v>252</v>
      </c>
      <c r="N194" s="36" t="s">
        <v>22</v>
      </c>
      <c r="O194" s="36" t="s">
        <v>285</v>
      </c>
      <c r="P194" s="36" t="s">
        <v>192</v>
      </c>
      <c r="Q194" s="36" t="s">
        <v>90</v>
      </c>
    </row>
    <row r="195" spans="1:17" ht="25.05" customHeight="1">
      <c r="A195" s="16">
        <v>44986</v>
      </c>
      <c r="B195" s="17" t="s">
        <v>163</v>
      </c>
      <c r="C195" s="17" t="s">
        <v>250</v>
      </c>
      <c r="D195" s="18" t="s">
        <v>117</v>
      </c>
      <c r="E195" s="30">
        <f>LOOKUP(EOMONTH(A195,0),'출처 및 기준'!$A$34:$A$53,'출처 및 기준'!$B$34:$B$53)</f>
        <v>3.5000000000000003E-2</v>
      </c>
      <c r="F195" s="31">
        <v>3.5299999999999998E-2</v>
      </c>
      <c r="G195" s="32">
        <v>3.4599999999999999E-2</v>
      </c>
      <c r="H195" s="19">
        <f t="shared" si="18"/>
        <v>-7.0000000000000007E-2</v>
      </c>
      <c r="I195" s="19">
        <f t="shared" si="16"/>
        <v>0.03</v>
      </c>
      <c r="J195" s="19">
        <f t="shared" si="17"/>
        <v>-0.04</v>
      </c>
      <c r="K195" s="65" t="s">
        <v>118</v>
      </c>
      <c r="L195" s="33" t="s">
        <v>251</v>
      </c>
      <c r="M195" s="34" t="s">
        <v>252</v>
      </c>
      <c r="N195" s="34" t="s">
        <v>22</v>
      </c>
      <c r="O195" s="34" t="s">
        <v>286</v>
      </c>
      <c r="P195" s="34" t="s">
        <v>192</v>
      </c>
      <c r="Q195" s="34" t="s">
        <v>92</v>
      </c>
    </row>
    <row r="196" spans="1:17" ht="25.05" customHeight="1">
      <c r="A196" s="26">
        <v>44958</v>
      </c>
      <c r="B196" s="27" t="s">
        <v>163</v>
      </c>
      <c r="C196" s="27" t="s">
        <v>250</v>
      </c>
      <c r="D196" s="28" t="s">
        <v>117</v>
      </c>
      <c r="E196" s="30">
        <f>LOOKUP(EOMONTH(A196,0),'출처 및 기준'!$A$34:$A$53,'출처 및 기준'!$B$34:$B$53)</f>
        <v>3.5000000000000003E-2</v>
      </c>
      <c r="F196" s="31">
        <v>3.5200000000000002E-2</v>
      </c>
      <c r="G196" s="32">
        <v>3.7000000000000005E-2</v>
      </c>
      <c r="H196" s="19">
        <f t="shared" si="18"/>
        <v>0.18</v>
      </c>
      <c r="I196" s="29">
        <f t="shared" si="16"/>
        <v>0.02</v>
      </c>
      <c r="J196" s="29">
        <f t="shared" si="17"/>
        <v>0.2</v>
      </c>
      <c r="K196" s="66" t="s">
        <v>118</v>
      </c>
      <c r="L196" s="35" t="s">
        <v>251</v>
      </c>
      <c r="M196" s="36" t="s">
        <v>252</v>
      </c>
      <c r="N196" s="36" t="s">
        <v>22</v>
      </c>
      <c r="O196" s="36" t="s">
        <v>287</v>
      </c>
      <c r="P196" s="36" t="s">
        <v>192</v>
      </c>
      <c r="Q196" s="36" t="s">
        <v>94</v>
      </c>
    </row>
    <row r="197" spans="1:17" ht="25.05" customHeight="1">
      <c r="A197" s="16">
        <v>44927</v>
      </c>
      <c r="B197" s="17" t="s">
        <v>163</v>
      </c>
      <c r="C197" s="17" t="s">
        <v>250</v>
      </c>
      <c r="D197" s="18" t="s">
        <v>117</v>
      </c>
      <c r="E197" s="30">
        <f>LOOKUP(EOMONTH(A197,0),'출처 및 기준'!$A$34:$A$53,'출처 및 기준'!$B$34:$B$53)</f>
        <v>3.5000000000000003E-2</v>
      </c>
      <c r="F197" s="31">
        <v>3.8300000000000001E-2</v>
      </c>
      <c r="G197" s="32">
        <v>3.9900000000000005E-2</v>
      </c>
      <c r="H197" s="19">
        <f t="shared" si="18"/>
        <v>0.16</v>
      </c>
      <c r="I197" s="19">
        <f t="shared" si="16"/>
        <v>0.33</v>
      </c>
      <c r="J197" s="19">
        <f t="shared" si="17"/>
        <v>0.49</v>
      </c>
      <c r="K197" s="65" t="s">
        <v>118</v>
      </c>
      <c r="L197" s="33" t="s">
        <v>251</v>
      </c>
      <c r="M197" s="34" t="s">
        <v>252</v>
      </c>
      <c r="N197" s="34" t="s">
        <v>22</v>
      </c>
      <c r="O197" s="34" t="s">
        <v>288</v>
      </c>
      <c r="P197" s="34" t="s">
        <v>192</v>
      </c>
      <c r="Q197" s="34" t="s">
        <v>96</v>
      </c>
    </row>
    <row r="198" spans="1:17" ht="25.05" customHeight="1"/>
    <row r="199" spans="1:17" ht="25.05" customHeight="1"/>
    <row r="200" spans="1:17" ht="25.05" customHeight="1"/>
    <row r="201" spans="1:17" ht="25.05" customHeight="1"/>
    <row r="202" spans="1:17" ht="25.05" customHeight="1"/>
    <row r="203" spans="1:17" ht="25.05" customHeight="1"/>
    <row r="204" spans="1:17" ht="25.05" customHeight="1"/>
    <row r="205" spans="1:17" ht="25.05" customHeight="1"/>
    <row r="206" spans="1:17" ht="25.05" customHeight="1"/>
    <row r="207" spans="1:17" ht="25.05" customHeight="1"/>
    <row r="208" spans="1:17" ht="25.05" customHeight="1"/>
    <row r="209" ht="25.05" customHeight="1"/>
    <row r="210" ht="25.05" customHeight="1"/>
    <row r="211" ht="25.05" customHeight="1"/>
    <row r="212" ht="25.05" customHeight="1"/>
    <row r="213" ht="25.05" customHeight="1"/>
    <row r="214" ht="25.05" customHeight="1"/>
    <row r="215" ht="25.05" customHeight="1"/>
    <row r="216" ht="25.05" customHeight="1"/>
    <row r="217" ht="25.05" customHeight="1"/>
    <row r="218" ht="25.05" customHeight="1"/>
    <row r="219" ht="25.05" customHeight="1"/>
    <row r="220" ht="25.05" customHeight="1"/>
    <row r="221" ht="25.05" customHeight="1"/>
    <row r="222" ht="25.05" customHeight="1"/>
    <row r="223" ht="25.05" customHeight="1"/>
    <row r="224" ht="25.05" customHeight="1"/>
    <row r="225" ht="25.05" customHeight="1"/>
    <row r="226" ht="25.05" customHeight="1"/>
    <row r="227" ht="25.05" customHeight="1"/>
    <row r="228" ht="25.05" customHeight="1"/>
    <row r="229" ht="25.05" customHeight="1"/>
    <row r="230" ht="25.05" customHeight="1"/>
    <row r="231" ht="25.05" customHeight="1"/>
    <row r="232" ht="25.05" customHeight="1"/>
    <row r="233" ht="25.05" customHeight="1"/>
    <row r="234" ht="25.05" customHeight="1"/>
    <row r="235" ht="25.05" customHeight="1"/>
    <row r="236" ht="25.05" customHeight="1"/>
    <row r="237" ht="25.05" customHeight="1"/>
    <row r="238" ht="25.05" customHeight="1"/>
    <row r="239" ht="25.05" customHeight="1"/>
    <row r="240" ht="25.05" customHeight="1"/>
    <row r="241" ht="25.05" customHeight="1"/>
    <row r="242" ht="25.05" customHeight="1"/>
    <row r="243" ht="25.05" customHeight="1"/>
    <row r="244" ht="25.05" customHeight="1"/>
    <row r="245" ht="25.05" customHeight="1"/>
    <row r="246" ht="25.05" customHeight="1"/>
    <row r="247" ht="25.05" customHeight="1"/>
    <row r="248" ht="25.05" customHeight="1"/>
    <row r="249" ht="25.05" customHeight="1"/>
    <row r="250" ht="25.05" customHeight="1"/>
    <row r="251" ht="25.05" customHeight="1"/>
    <row r="252" ht="25.05" customHeight="1"/>
    <row r="253" ht="25.05" customHeight="1"/>
    <row r="254" ht="25.05" customHeight="1"/>
    <row r="255" ht="25.05" customHeight="1"/>
    <row r="256" ht="25.05" customHeight="1"/>
    <row r="257" ht="25.05" customHeight="1"/>
    <row r="258" ht="25.05" customHeight="1"/>
    <row r="259" ht="25.05" customHeight="1"/>
    <row r="260" ht="25.05" customHeight="1"/>
    <row r="261" ht="25.05" customHeight="1"/>
    <row r="262" ht="25.05" customHeight="1"/>
    <row r="263" ht="25.05" customHeight="1"/>
    <row r="264" ht="25.05" customHeight="1"/>
    <row r="265" ht="25.05" customHeight="1"/>
    <row r="266" ht="25.05" customHeight="1"/>
    <row r="267" ht="25.05" customHeight="1"/>
    <row r="268" ht="25.05" customHeight="1"/>
    <row r="269" ht="25.05" customHeight="1"/>
    <row r="270" ht="25.05" customHeight="1"/>
    <row r="271" ht="25.05" customHeight="1"/>
    <row r="272" ht="25.05" customHeight="1"/>
    <row r="273" ht="25.05" customHeight="1"/>
    <row r="274" ht="25.05" customHeight="1"/>
    <row r="275" ht="25.05" customHeight="1"/>
    <row r="276" ht="25.05" customHeight="1"/>
    <row r="277" ht="25.05" customHeight="1"/>
    <row r="278" ht="25.05" customHeight="1"/>
    <row r="279" ht="25.05" customHeight="1"/>
    <row r="280" ht="25.05" customHeight="1"/>
    <row r="281" ht="25.05" customHeight="1"/>
    <row r="282" ht="25.05" customHeight="1"/>
    <row r="283" ht="25.05" customHeight="1"/>
    <row r="284" ht="25.05" customHeight="1"/>
    <row r="285" ht="25.05" customHeight="1"/>
    <row r="286" ht="25.05" customHeight="1"/>
    <row r="287" ht="25.05" customHeight="1"/>
    <row r="288" ht="25.05" customHeight="1"/>
    <row r="289" ht="25.05" customHeight="1"/>
    <row r="290" ht="25.05" customHeight="1"/>
    <row r="291" ht="25.05" customHeight="1"/>
    <row r="292" ht="25.05" customHeight="1"/>
    <row r="293" ht="25.05" customHeight="1"/>
    <row r="294" ht="25.05" customHeight="1"/>
    <row r="295" ht="25.05" customHeight="1"/>
    <row r="296" ht="25.05" customHeight="1"/>
    <row r="297" ht="25.05" customHeight="1"/>
    <row r="298" ht="25.05" customHeight="1"/>
    <row r="299" ht="25.05" customHeight="1"/>
    <row r="300" ht="25.05" customHeight="1"/>
    <row r="301" ht="25.05" customHeight="1"/>
    <row r="302" ht="25.05" customHeight="1"/>
    <row r="303" ht="25.05" customHeight="1"/>
    <row r="304" ht="25.05" customHeight="1"/>
    <row r="305" ht="25.05" customHeight="1"/>
    <row r="306" ht="25.05" customHeight="1"/>
    <row r="307" ht="25.05" customHeight="1"/>
    <row r="308" ht="25.05" customHeight="1"/>
    <row r="309" ht="25.05" customHeight="1"/>
    <row r="310" ht="25.05" customHeight="1"/>
    <row r="311" ht="25.05" customHeight="1"/>
    <row r="312" ht="25.05" customHeight="1"/>
    <row r="313" ht="25.05" customHeight="1"/>
    <row r="314" ht="25.05" customHeight="1"/>
    <row r="315" ht="25.05" customHeight="1"/>
    <row r="316" ht="25.05" customHeight="1"/>
    <row r="317" ht="25.05" customHeight="1"/>
    <row r="318" ht="25.05" customHeight="1"/>
    <row r="319" ht="25.05" customHeight="1"/>
    <row r="320" ht="25.05" customHeight="1"/>
    <row r="321" ht="25.05" customHeight="1"/>
    <row r="322" ht="25.05" customHeight="1"/>
    <row r="323" ht="25.05" customHeight="1"/>
    <row r="324" ht="25.05" customHeight="1"/>
    <row r="325" ht="25.05" customHeight="1"/>
    <row r="326" ht="25.05" customHeight="1"/>
    <row r="327" ht="25.05" customHeight="1"/>
    <row r="328" ht="25.05" customHeight="1"/>
    <row r="329" ht="25.05" customHeight="1"/>
    <row r="330" ht="25.05" customHeight="1"/>
    <row r="331" ht="25.05" customHeight="1"/>
    <row r="332" ht="25.05" customHeight="1"/>
    <row r="333" ht="25.05" customHeight="1"/>
    <row r="334" ht="25.05" customHeight="1"/>
    <row r="335" ht="25.05" customHeight="1"/>
    <row r="336" ht="25.05" customHeight="1"/>
    <row r="337" ht="25.05" customHeight="1"/>
    <row r="338" ht="25.05" customHeight="1"/>
    <row r="339" ht="25.05" customHeight="1"/>
    <row r="340" ht="25.05" customHeight="1"/>
    <row r="341" ht="25.05" customHeight="1"/>
    <row r="342" ht="25.05" customHeight="1"/>
    <row r="343" ht="25.05" customHeight="1"/>
    <row r="344" ht="25.05" customHeight="1"/>
    <row r="345" ht="25.05" customHeight="1"/>
    <row r="346" ht="25.05" customHeight="1"/>
    <row r="347" ht="25.05" customHeight="1"/>
    <row r="348" ht="25.05" customHeight="1"/>
    <row r="349" ht="25.05" customHeight="1"/>
    <row r="350" ht="25.05" customHeight="1"/>
    <row r="351" ht="25.05" customHeight="1"/>
    <row r="352" ht="25.05" customHeight="1"/>
    <row r="353" ht="25.05" customHeight="1"/>
    <row r="354" ht="25.05" customHeight="1"/>
    <row r="355" ht="25.05" customHeight="1"/>
    <row r="356" ht="25.05" customHeight="1"/>
    <row r="357" ht="25.05" customHeight="1"/>
    <row r="358" ht="25.05" customHeight="1"/>
    <row r="359" ht="25.05" customHeight="1"/>
    <row r="360" ht="25.05" customHeight="1"/>
    <row r="361" ht="25.05" customHeight="1"/>
    <row r="362" ht="25.05" customHeight="1"/>
    <row r="363" ht="25.05" customHeight="1"/>
    <row r="364" ht="25.05" customHeight="1"/>
    <row r="365" ht="25.05" customHeight="1"/>
    <row r="366" ht="25.05" customHeight="1"/>
    <row r="367" ht="25.05" customHeight="1"/>
    <row r="368" ht="25.05" customHeight="1"/>
    <row r="369" ht="25.05" customHeight="1"/>
    <row r="370" ht="25.05" customHeight="1"/>
    <row r="371" ht="25.05" customHeight="1"/>
    <row r="372" ht="25.05" customHeight="1"/>
    <row r="373" ht="25.05" customHeight="1"/>
    <row r="374" ht="25.05" customHeight="1"/>
    <row r="375" ht="25.05" customHeight="1"/>
    <row r="376" ht="25.05" customHeight="1"/>
    <row r="377" ht="25.05" customHeight="1"/>
    <row r="378" ht="25.05" customHeight="1"/>
    <row r="379" ht="25.05" customHeight="1"/>
    <row r="380" ht="25.05" customHeight="1"/>
    <row r="381" ht="25.05" customHeight="1"/>
    <row r="382" ht="25.05" customHeight="1"/>
    <row r="383" ht="25.05" customHeight="1"/>
    <row r="384" ht="25.05" customHeight="1"/>
    <row r="385" ht="25.05" customHeight="1"/>
    <row r="386" ht="40.049999999999997" customHeight="1"/>
    <row r="387" ht="40.049999999999997" customHeight="1"/>
    <row r="388" ht="40.049999999999997" customHeight="1"/>
    <row r="389" ht="40.049999999999997" customHeight="1"/>
    <row r="390" ht="40.049999999999997" customHeight="1"/>
    <row r="391" ht="40.049999999999997" customHeight="1"/>
    <row r="392" ht="40.049999999999997" customHeight="1"/>
    <row r="393" ht="40.049999999999997" customHeight="1"/>
    <row r="394" ht="40.049999999999997" customHeight="1"/>
    <row r="395" ht="40.049999999999997" customHeight="1"/>
    <row r="396" ht="40.049999999999997" customHeight="1"/>
    <row r="397" ht="40.049999999999997" customHeight="1"/>
    <row r="398" ht="40.049999999999997" customHeight="1"/>
    <row r="399" ht="40.049999999999997" customHeight="1"/>
    <row r="400" ht="40.049999999999997" customHeight="1"/>
    <row r="401" ht="40.049999999999997" customHeight="1"/>
    <row r="402" ht="40.049999999999997" customHeight="1"/>
    <row r="403" ht="40.049999999999997" customHeight="1"/>
    <row r="404" ht="40.049999999999997" customHeight="1"/>
    <row r="405" ht="40.049999999999997" customHeight="1"/>
    <row r="406" ht="40.049999999999997" customHeight="1"/>
    <row r="407" ht="40.049999999999997" customHeight="1"/>
    <row r="408" ht="40.049999999999997" customHeight="1"/>
    <row r="409" ht="40.049999999999997" customHeight="1"/>
    <row r="410" ht="40.049999999999997" customHeight="1"/>
    <row r="411" ht="40.049999999999997" customHeight="1"/>
    <row r="412" ht="40.049999999999997" customHeight="1"/>
    <row r="413" ht="40.049999999999997" customHeight="1"/>
    <row r="414" ht="40.049999999999997" customHeight="1"/>
    <row r="415" ht="40.049999999999997" customHeight="1"/>
    <row r="416" ht="40.049999999999997" customHeight="1"/>
    <row r="417" ht="40.049999999999997" customHeight="1"/>
    <row r="418" ht="40.049999999999997" customHeight="1"/>
    <row r="419" ht="40.049999999999997" customHeight="1"/>
    <row r="420" ht="40.049999999999997" customHeight="1"/>
    <row r="421" ht="40.049999999999997" customHeight="1"/>
    <row r="422" ht="40.049999999999997" customHeight="1"/>
    <row r="423" ht="40.049999999999997" customHeight="1"/>
    <row r="424" ht="40.049999999999997" customHeight="1"/>
    <row r="425" ht="40.049999999999997" customHeight="1"/>
    <row r="426" ht="40.049999999999997" customHeight="1"/>
    <row r="427" ht="40.049999999999997" customHeight="1"/>
    <row r="428" ht="40.049999999999997" customHeight="1"/>
    <row r="429" ht="40.049999999999997" customHeight="1"/>
    <row r="430" ht="40.049999999999997" customHeight="1"/>
    <row r="431" ht="40.049999999999997" customHeight="1"/>
    <row r="432" ht="40.049999999999997" customHeight="1"/>
    <row r="433" ht="40.049999999999997" customHeight="1"/>
    <row r="434" ht="25.05" customHeight="1"/>
    <row r="435" ht="25.05" customHeight="1"/>
    <row r="436" ht="25.05" customHeight="1"/>
    <row r="437" ht="25.05" customHeight="1"/>
    <row r="438" ht="25.05" customHeight="1"/>
    <row r="439" ht="25.05" customHeight="1"/>
    <row r="440" ht="25.05" customHeight="1"/>
    <row r="441" ht="25.05" customHeight="1"/>
    <row r="442" ht="25.05" customHeight="1"/>
    <row r="443" ht="25.05" customHeight="1"/>
    <row r="444" ht="25.05" customHeight="1"/>
    <row r="445" ht="25.05" customHeight="1"/>
    <row r="446" ht="25.05" customHeight="1"/>
    <row r="447" ht="25.05" customHeight="1"/>
    <row r="448" ht="25.05" customHeight="1"/>
    <row r="449" ht="25.05" customHeight="1"/>
    <row r="450" ht="25.05" customHeight="1"/>
    <row r="451" ht="25.05" customHeight="1"/>
    <row r="452" ht="25.05" customHeight="1"/>
    <row r="453" ht="25.05" customHeight="1"/>
    <row r="454" ht="25.05" customHeight="1"/>
    <row r="455" ht="25.05" customHeight="1"/>
    <row r="456" ht="25.05" customHeight="1"/>
    <row r="457" ht="25.05" customHeight="1"/>
    <row r="458" ht="25.05" customHeight="1"/>
    <row r="459" ht="25.05" customHeight="1"/>
    <row r="460" ht="25.05" customHeight="1"/>
    <row r="461" ht="25.05" customHeight="1"/>
    <row r="462" ht="25.05" customHeight="1"/>
    <row r="463" ht="25.05" customHeight="1"/>
    <row r="464" ht="25.05" customHeight="1"/>
    <row r="465" ht="25.05" customHeight="1"/>
    <row r="466" ht="25.05" customHeight="1"/>
    <row r="467" ht="25.05" customHeight="1"/>
    <row r="468" ht="25.05" customHeight="1"/>
    <row r="469" ht="25.05" customHeight="1"/>
    <row r="470" ht="25.05" customHeight="1"/>
    <row r="471" ht="25.05" customHeight="1"/>
    <row r="472" ht="25.05" customHeight="1"/>
    <row r="473" ht="25.05" customHeight="1"/>
    <row r="474" ht="25.05" customHeight="1"/>
    <row r="475" ht="25.05" customHeight="1"/>
    <row r="476" ht="25.05" customHeight="1"/>
    <row r="477" ht="25.05" customHeight="1"/>
    <row r="478" ht="25.05" customHeight="1"/>
    <row r="479" ht="25.05" customHeight="1"/>
    <row r="480" ht="25.05" customHeight="1"/>
    <row r="481" ht="25.05" customHeight="1"/>
    <row r="482" ht="25.05" customHeight="1"/>
    <row r="483" ht="25.05" customHeight="1"/>
    <row r="484" ht="25.05" customHeight="1"/>
    <row r="485" ht="25.05" customHeight="1"/>
    <row r="486" ht="25.05" customHeight="1"/>
    <row r="487" ht="25.05" customHeight="1"/>
    <row r="488" ht="25.05" customHeight="1"/>
    <row r="489" ht="25.05" customHeight="1"/>
    <row r="490" ht="25.05" customHeight="1"/>
    <row r="491" ht="25.05" customHeight="1"/>
    <row r="492" ht="25.05" customHeight="1"/>
    <row r="493" ht="25.05" customHeight="1"/>
    <row r="494" ht="25.05" customHeight="1"/>
    <row r="495" ht="25.05" customHeight="1"/>
    <row r="496" ht="25.05" customHeight="1"/>
    <row r="497" ht="25.05" customHeight="1"/>
    <row r="498" ht="25.05" customHeight="1"/>
    <row r="499" ht="25.05" customHeight="1"/>
    <row r="500" ht="25.05" customHeight="1"/>
    <row r="501" ht="25.05" customHeight="1"/>
    <row r="502" ht="25.05" customHeight="1"/>
    <row r="503" ht="25.05" customHeight="1"/>
    <row r="504" ht="25.05" customHeight="1"/>
    <row r="505" ht="25.05" customHeight="1"/>
    <row r="506" ht="25.05" customHeight="1"/>
    <row r="507" ht="25.05" customHeight="1"/>
    <row r="508" ht="25.05" customHeight="1"/>
    <row r="509" ht="25.05" customHeight="1"/>
    <row r="510" ht="25.05" customHeight="1"/>
    <row r="511" ht="25.05" customHeight="1"/>
    <row r="512" ht="25.05" customHeight="1"/>
    <row r="513" ht="25.05" customHeight="1"/>
    <row r="514" ht="25.05" customHeight="1"/>
    <row r="515" ht="25.05" customHeight="1"/>
    <row r="516" ht="25.05" customHeight="1"/>
    <row r="517" ht="25.05" customHeight="1"/>
    <row r="518" ht="25.05" customHeight="1"/>
    <row r="519" ht="25.05" customHeight="1"/>
    <row r="520" ht="25.05" customHeight="1"/>
    <row r="521" ht="25.05" customHeight="1"/>
    <row r="522" ht="25.05" customHeight="1"/>
    <row r="523" ht="25.05" customHeight="1"/>
    <row r="524" ht="25.05" customHeight="1"/>
    <row r="525" ht="25.05" customHeight="1"/>
    <row r="526" ht="25.05" customHeight="1"/>
    <row r="527" ht="25.05" customHeight="1"/>
    <row r="528" ht="25.05" customHeight="1"/>
    <row r="529" ht="25.05" customHeight="1"/>
    <row r="530" ht="25.05" customHeight="1"/>
    <row r="531" ht="25.05" customHeight="1"/>
    <row r="532" ht="25.05" customHeight="1"/>
    <row r="533" ht="25.05" customHeight="1"/>
    <row r="534" ht="25.05" customHeight="1"/>
    <row r="535" ht="25.05" customHeight="1"/>
    <row r="536" ht="25.05" customHeight="1"/>
    <row r="537" ht="25.05" customHeight="1"/>
    <row r="538" ht="25.05" customHeight="1"/>
    <row r="539" ht="25.05" customHeight="1"/>
    <row r="540" ht="25.05" customHeight="1"/>
    <row r="541" ht="25.05" customHeight="1"/>
    <row r="542" ht="25.05" customHeight="1"/>
    <row r="543" ht="25.05" customHeight="1"/>
    <row r="544" ht="25.05" customHeight="1"/>
    <row r="545" ht="25.05" customHeight="1"/>
    <row r="546" ht="25.05" customHeight="1"/>
    <row r="547" ht="25.05" customHeight="1"/>
    <row r="548" ht="25.05" customHeight="1"/>
    <row r="549" ht="25.05" customHeight="1"/>
    <row r="550" ht="25.05" customHeight="1"/>
    <row r="551" ht="25.05" customHeight="1"/>
    <row r="552" ht="25.05" customHeight="1"/>
    <row r="553" ht="25.05" customHeight="1"/>
    <row r="554" ht="25.05" customHeight="1"/>
    <row r="555" ht="25.05" customHeight="1"/>
    <row r="556" ht="25.05" customHeight="1"/>
    <row r="557" ht="25.05" customHeight="1"/>
    <row r="558" ht="25.05" customHeight="1"/>
    <row r="559" ht="25.05" customHeight="1"/>
    <row r="560" ht="25.05" customHeight="1"/>
    <row r="561" ht="25.05" customHeight="1"/>
    <row r="562" ht="25.05" customHeight="1"/>
    <row r="563" ht="25.05" customHeight="1"/>
    <row r="564" ht="25.05" customHeight="1"/>
    <row r="565" ht="25.05" customHeight="1"/>
    <row r="566" ht="25.05" customHeight="1"/>
    <row r="567" ht="25.05" customHeight="1"/>
    <row r="568" ht="25.05" customHeight="1"/>
    <row r="569" ht="25.05" customHeight="1"/>
    <row r="570" ht="25.05" customHeight="1"/>
    <row r="571" ht="25.05" customHeight="1"/>
    <row r="572" ht="25.05" customHeight="1"/>
    <row r="573" ht="25.05" customHeight="1"/>
    <row r="574" ht="25.05" customHeight="1"/>
    <row r="575" ht="25.05" customHeight="1"/>
    <row r="576" ht="25.05" customHeight="1"/>
    <row r="577" ht="25.05" customHeight="1"/>
    <row r="578" ht="25.05" customHeight="1"/>
    <row r="579" ht="25.05" customHeight="1"/>
    <row r="580" ht="25.05" customHeight="1"/>
    <row r="581" ht="25.05" customHeight="1"/>
    <row r="582" ht="25.05" customHeight="1"/>
    <row r="583" ht="25.05" customHeight="1"/>
    <row r="584" ht="25.05" customHeight="1"/>
    <row r="585" ht="25.05" customHeight="1"/>
    <row r="586" ht="25.05" customHeight="1"/>
    <row r="587" ht="25.05" customHeight="1"/>
    <row r="588" ht="25.05" customHeight="1"/>
    <row r="589" ht="25.05" customHeight="1"/>
    <row r="590" ht="25.05" customHeight="1"/>
    <row r="591" ht="25.05" customHeight="1"/>
    <row r="592" ht="25.05" customHeight="1"/>
    <row r="593" ht="25.05" customHeight="1"/>
    <row r="594" ht="25.05" customHeight="1"/>
    <row r="595" ht="25.05" customHeight="1"/>
    <row r="596" ht="25.05" customHeight="1"/>
    <row r="597" ht="25.05" customHeight="1"/>
    <row r="598" ht="25.05" customHeight="1"/>
    <row r="599" ht="25.05" customHeight="1"/>
    <row r="600" ht="25.05" customHeight="1"/>
    <row r="601" ht="25.05" customHeight="1"/>
    <row r="602" ht="25.05" customHeight="1"/>
    <row r="603" ht="25.05" customHeight="1"/>
    <row r="604" ht="25.05" customHeight="1"/>
    <row r="605" ht="25.05" customHeight="1"/>
    <row r="606" ht="25.05" customHeight="1"/>
    <row r="607" ht="25.05" customHeight="1"/>
    <row r="608" ht="25.05" customHeight="1"/>
    <row r="609" ht="25.05" customHeight="1"/>
    <row r="610" ht="25.05" customHeight="1"/>
    <row r="611" ht="25.05" customHeight="1"/>
    <row r="612" ht="25.05" customHeight="1"/>
    <row r="613" ht="25.05" customHeight="1"/>
    <row r="614" ht="25.05" customHeight="1"/>
    <row r="615" ht="25.05" customHeight="1"/>
    <row r="616" ht="25.05" customHeight="1"/>
    <row r="617" ht="25.05" customHeight="1"/>
    <row r="618" ht="25.05" customHeight="1"/>
    <row r="619" ht="25.05" customHeight="1"/>
    <row r="620" ht="25.05" customHeight="1"/>
    <row r="621" ht="25.05" customHeight="1"/>
    <row r="622" ht="25.05" customHeight="1"/>
    <row r="623" ht="25.05" customHeight="1"/>
    <row r="624" ht="25.05" customHeight="1"/>
    <row r="625" ht="25.05" customHeight="1"/>
    <row r="626" ht="25.05" customHeight="1"/>
    <row r="627" ht="25.05" customHeight="1"/>
    <row r="628" ht="25.05" customHeight="1"/>
    <row r="629" ht="25.05" customHeight="1"/>
    <row r="630" ht="25.05" customHeight="1"/>
    <row r="631" ht="25.05" customHeight="1"/>
    <row r="632" ht="25.05" customHeight="1"/>
    <row r="633" ht="25.05" customHeight="1"/>
    <row r="634" ht="25.05" customHeight="1"/>
    <row r="635" ht="25.05" customHeight="1"/>
    <row r="636" ht="25.05" customHeight="1"/>
    <row r="637" ht="25.05" customHeight="1"/>
    <row r="638" ht="25.05" customHeight="1"/>
    <row r="639" ht="25.05" customHeight="1"/>
    <row r="640" ht="25.05" customHeight="1"/>
    <row r="641" ht="25.05" customHeight="1"/>
    <row r="642" ht="25.05" customHeight="1"/>
    <row r="643" ht="25.05" customHeight="1"/>
    <row r="644" ht="25.05" customHeight="1"/>
    <row r="645" ht="25.05" customHeight="1"/>
    <row r="646" ht="25.05" customHeight="1"/>
    <row r="647" ht="25.05" customHeight="1"/>
    <row r="648" ht="25.05" customHeight="1"/>
    <row r="649" ht="25.05" customHeight="1"/>
    <row r="650" ht="25.05" customHeight="1"/>
    <row r="651" ht="25.05" customHeight="1"/>
    <row r="652" ht="25.05" customHeight="1"/>
    <row r="653" ht="25.05" customHeight="1"/>
    <row r="654" ht="25.05" customHeight="1"/>
    <row r="655" ht="25.05" customHeight="1"/>
    <row r="656" ht="25.05" customHeight="1"/>
    <row r="657" ht="25.05" customHeight="1"/>
    <row r="658" ht="25.05" customHeight="1"/>
    <row r="659" ht="25.05" customHeight="1"/>
    <row r="660" ht="25.05" customHeight="1"/>
    <row r="661" ht="25.05" customHeight="1"/>
    <row r="662" ht="25.05" customHeight="1"/>
    <row r="663" ht="25.05" customHeight="1"/>
    <row r="664" ht="25.05" customHeight="1"/>
    <row r="665" ht="25.05" customHeight="1"/>
    <row r="666" ht="25.05" customHeight="1"/>
    <row r="667" ht="25.05" customHeight="1"/>
    <row r="668" ht="25.05" customHeight="1"/>
    <row r="669" ht="25.05" customHeight="1"/>
    <row r="670" ht="25.05" customHeight="1"/>
    <row r="671" ht="25.05" customHeight="1"/>
    <row r="672" ht="25.05" customHeight="1"/>
    <row r="673" ht="25.05" customHeight="1"/>
    <row r="674" ht="25.05" customHeight="1"/>
    <row r="675" ht="25.05" customHeight="1"/>
    <row r="676" ht="25.05" customHeight="1"/>
    <row r="677" ht="25.05" customHeight="1"/>
    <row r="678" ht="25.05" customHeight="1"/>
    <row r="679" ht="25.05" customHeight="1"/>
    <row r="680" ht="25.05" customHeight="1"/>
    <row r="681" ht="25.05" customHeight="1"/>
    <row r="682" ht="25.05" customHeight="1"/>
    <row r="683" ht="25.05" customHeight="1"/>
    <row r="684" ht="25.05" customHeight="1"/>
    <row r="685" ht="25.05" customHeight="1"/>
    <row r="686" ht="25.05" customHeight="1"/>
    <row r="687" ht="25.05" customHeight="1"/>
    <row r="688" ht="25.05" customHeight="1"/>
    <row r="689" ht="25.05" customHeight="1"/>
    <row r="690" ht="25.05" customHeight="1"/>
    <row r="691" ht="25.05" customHeight="1"/>
    <row r="692" ht="25.05" customHeight="1"/>
    <row r="693" ht="25.05" customHeight="1"/>
    <row r="694" ht="25.05" customHeight="1"/>
    <row r="695" ht="25.05" customHeight="1"/>
    <row r="696" ht="25.05" customHeight="1"/>
    <row r="697" ht="25.05" customHeight="1"/>
    <row r="698" ht="25.05" customHeight="1"/>
    <row r="699" ht="25.05" customHeight="1"/>
    <row r="700" ht="25.05" customHeight="1"/>
    <row r="701" ht="25.05" customHeight="1"/>
    <row r="702" ht="25.05" customHeight="1"/>
    <row r="703" ht="25.05" customHeight="1"/>
    <row r="704" ht="25.05" customHeight="1"/>
    <row r="705" ht="25.05" customHeight="1"/>
    <row r="706" ht="25.05" customHeight="1"/>
    <row r="707" ht="25.05" customHeight="1"/>
    <row r="708" ht="25.05" customHeight="1"/>
    <row r="709" ht="25.05" customHeight="1"/>
    <row r="710" ht="25.05" customHeight="1"/>
    <row r="711" ht="25.05" customHeight="1"/>
    <row r="712" ht="25.05" customHeight="1"/>
    <row r="713" ht="25.05" customHeight="1"/>
    <row r="714" ht="25.05" customHeight="1"/>
    <row r="715" ht="25.05" customHeight="1"/>
    <row r="716" ht="25.05" customHeight="1"/>
    <row r="717" ht="25.05" customHeight="1"/>
    <row r="718" ht="25.05" customHeight="1"/>
    <row r="719" ht="25.05" customHeight="1"/>
    <row r="720" ht="25.05" customHeight="1"/>
    <row r="721" ht="25.05" customHeight="1"/>
    <row r="722" ht="25.05" customHeight="1"/>
    <row r="723" ht="25.05" customHeight="1"/>
    <row r="724" ht="25.05" customHeight="1"/>
    <row r="725" ht="25.05" customHeight="1"/>
    <row r="726" ht="25.05" customHeight="1"/>
    <row r="727" ht="25.05" customHeight="1"/>
    <row r="728" ht="25.05" customHeight="1"/>
    <row r="729" ht="25.05" customHeight="1"/>
    <row r="730" ht="25.05" customHeight="1"/>
    <row r="731" ht="25.05" customHeight="1"/>
    <row r="732" ht="25.05" customHeight="1"/>
    <row r="733" ht="25.05" customHeight="1"/>
    <row r="734" ht="25.05" customHeight="1"/>
    <row r="735" ht="25.05" customHeight="1"/>
    <row r="736" ht="25.05" customHeight="1"/>
    <row r="737" ht="25.05" customHeight="1"/>
    <row r="738" ht="25.05" customHeight="1"/>
    <row r="739" ht="25.05" customHeight="1"/>
    <row r="740" ht="25.05" customHeight="1"/>
    <row r="741" ht="25.05" customHeight="1"/>
    <row r="742" ht="25.05" customHeight="1"/>
    <row r="743" ht="25.05" customHeight="1"/>
    <row r="744" ht="25.05" customHeight="1"/>
    <row r="745" ht="25.05" customHeight="1"/>
    <row r="746" ht="25.05" customHeight="1"/>
    <row r="747" ht="25.05" customHeight="1"/>
    <row r="748" ht="25.05" customHeight="1"/>
    <row r="749" ht="25.05" customHeight="1"/>
    <row r="750" ht="25.05" customHeight="1"/>
    <row r="751" ht="25.05" customHeight="1"/>
    <row r="752" ht="25.05" customHeight="1"/>
    <row r="753" ht="25.05" customHeight="1"/>
    <row r="754" ht="25.05" customHeight="1"/>
    <row r="755" ht="25.05" customHeight="1"/>
    <row r="756" ht="25.05" customHeight="1"/>
    <row r="757" ht="25.05" customHeight="1"/>
    <row r="758" ht="25.05" customHeight="1"/>
    <row r="759" ht="25.05" customHeight="1"/>
    <row r="760" ht="25.05" customHeight="1"/>
    <row r="761" ht="25.05" customHeight="1"/>
    <row r="762" ht="25.05" customHeight="1"/>
    <row r="763" ht="25.05" customHeight="1"/>
    <row r="764" ht="25.05" customHeight="1"/>
    <row r="765" ht="25.05" customHeight="1"/>
    <row r="766" ht="25.05" customHeight="1"/>
    <row r="767" ht="25.05" customHeight="1"/>
    <row r="768" ht="25.05" customHeight="1"/>
    <row r="769" ht="25.05" customHeight="1"/>
    <row r="770" ht="25.05" customHeight="1"/>
    <row r="771" ht="25.05" customHeight="1"/>
    <row r="772" ht="25.05" customHeight="1"/>
    <row r="773" ht="25.05" customHeight="1"/>
    <row r="774" ht="25.05" customHeight="1"/>
    <row r="775" ht="25.05" customHeight="1"/>
    <row r="776" ht="25.05" customHeight="1"/>
    <row r="777" ht="25.05" customHeight="1"/>
    <row r="778" ht="25.05" customHeight="1"/>
    <row r="779" ht="25.05" customHeight="1"/>
    <row r="780" ht="25.05" customHeight="1"/>
    <row r="781" ht="25.05" customHeight="1"/>
    <row r="782" ht="25.05" customHeight="1"/>
    <row r="783" ht="25.05" customHeight="1"/>
    <row r="784" ht="25.05" customHeight="1"/>
    <row r="785" ht="25.05" customHeight="1"/>
    <row r="786" ht="25.05" customHeight="1"/>
    <row r="787" ht="25.05" customHeight="1"/>
    <row r="788" ht="25.05" customHeight="1"/>
    <row r="789" ht="25.05" customHeight="1"/>
    <row r="790" ht="25.05" customHeight="1"/>
    <row r="791" ht="25.05" customHeight="1"/>
    <row r="792" ht="25.05" customHeight="1"/>
    <row r="793" ht="25.05" customHeight="1"/>
    <row r="794" ht="25.05" customHeight="1"/>
    <row r="795" ht="25.05" customHeight="1"/>
    <row r="796" ht="25.05" customHeight="1"/>
    <row r="797" ht="25.05" customHeight="1"/>
    <row r="798" ht="25.05" customHeight="1"/>
    <row r="799" ht="25.05" customHeight="1"/>
    <row r="800" ht="25.05" customHeight="1"/>
    <row r="801" ht="25.05" customHeight="1"/>
    <row r="802" ht="25.05" customHeight="1"/>
    <row r="803" ht="25.05" customHeight="1"/>
    <row r="804" ht="25.05" customHeight="1"/>
    <row r="805" ht="25.05" customHeight="1"/>
    <row r="806" ht="25.05" customHeight="1"/>
    <row r="807" ht="25.05" customHeight="1"/>
    <row r="808" ht="25.05" customHeight="1"/>
    <row r="809" ht="25.05" customHeight="1"/>
    <row r="810" ht="25.05" customHeight="1"/>
    <row r="811" ht="25.05" customHeight="1"/>
    <row r="812" ht="25.05" customHeight="1"/>
    <row r="813" ht="25.05" customHeight="1"/>
    <row r="814" ht="25.05" customHeight="1"/>
    <row r="815" ht="25.05" customHeight="1"/>
    <row r="816" ht="25.05" customHeight="1"/>
    <row r="817" ht="25.05" customHeight="1"/>
    <row r="818" ht="25.05" customHeight="1"/>
    <row r="819" ht="25.05" customHeight="1"/>
    <row r="820" ht="25.05" customHeight="1"/>
    <row r="821" ht="25.05" customHeight="1"/>
    <row r="822" ht="25.05" customHeight="1"/>
    <row r="823" ht="25.05" customHeight="1"/>
    <row r="824" ht="25.05" customHeight="1"/>
    <row r="825" ht="25.05" customHeight="1"/>
    <row r="826" ht="25.05" customHeight="1"/>
    <row r="827" ht="25.05" customHeight="1"/>
    <row r="828" ht="25.05" customHeight="1"/>
    <row r="829" ht="25.05" customHeight="1"/>
    <row r="830" ht="25.05" customHeight="1"/>
    <row r="831" ht="25.05" customHeight="1"/>
    <row r="832" ht="25.05" customHeight="1"/>
    <row r="833" ht="25.05" customHeight="1"/>
    <row r="834" ht="25.05" customHeight="1"/>
    <row r="835" ht="25.05" customHeight="1"/>
    <row r="836" ht="25.05" customHeight="1"/>
    <row r="837" ht="25.05" customHeight="1"/>
    <row r="838" ht="25.05" customHeight="1"/>
    <row r="839" ht="25.05" customHeight="1"/>
    <row r="840" ht="25.05" customHeight="1"/>
    <row r="841" ht="25.05" customHeight="1"/>
    <row r="842" ht="25.05" customHeight="1"/>
    <row r="843" ht="25.05" customHeight="1"/>
    <row r="844" ht="25.05" customHeight="1"/>
    <row r="845" ht="25.05" customHeight="1"/>
    <row r="846" ht="25.05" customHeight="1"/>
    <row r="847" ht="25.05" customHeight="1"/>
    <row r="848" ht="25.05" customHeight="1"/>
    <row r="849" ht="25.05" customHeight="1"/>
    <row r="850" ht="25.05" customHeight="1"/>
    <row r="851" ht="25.05" customHeight="1"/>
    <row r="852" ht="25.05" customHeight="1"/>
    <row r="853" ht="25.05" customHeight="1"/>
    <row r="854" ht="25.05" customHeight="1"/>
    <row r="855" ht="25.05" customHeight="1"/>
    <row r="856" ht="25.05" customHeight="1"/>
    <row r="857" ht="25.05" customHeight="1"/>
    <row r="858" ht="25.05" customHeight="1"/>
    <row r="859" ht="25.05" customHeight="1"/>
    <row r="860" ht="25.05" customHeight="1"/>
    <row r="861" ht="25.05" customHeight="1"/>
    <row r="862" ht="25.05" customHeight="1"/>
    <row r="863" ht="25.05" customHeight="1"/>
    <row r="864" ht="25.05" customHeight="1"/>
    <row r="865" ht="25.05" customHeight="1"/>
    <row r="866" ht="31.05" customHeight="1"/>
    <row r="867" ht="25.05" customHeight="1"/>
    <row r="868" ht="25.05" customHeight="1"/>
    <row r="869" ht="25.05" customHeight="1"/>
    <row r="870" ht="25.05" customHeight="1"/>
    <row r="871" ht="25.05" customHeight="1"/>
    <row r="872" ht="25.05" customHeight="1"/>
    <row r="873" ht="25.05" customHeight="1"/>
    <row r="874" ht="25.05" customHeight="1"/>
    <row r="875" ht="25.05" customHeight="1"/>
    <row r="876" ht="25.05" customHeight="1"/>
    <row r="877" ht="25.05" customHeight="1"/>
    <row r="878" ht="25.05" customHeight="1"/>
    <row r="879" ht="25.05" customHeight="1"/>
    <row r="880" ht="25.05" customHeight="1"/>
    <row r="881" ht="25.05" customHeight="1"/>
    <row r="882" ht="25.05" customHeight="1"/>
    <row r="883" ht="25.05" customHeight="1"/>
    <row r="884" ht="25.05" customHeight="1"/>
    <row r="885" ht="25.05" customHeight="1"/>
    <row r="886" ht="25.05" customHeight="1"/>
    <row r="887" ht="25.05" customHeight="1"/>
    <row r="888" ht="25.05" customHeight="1"/>
    <row r="889" ht="25.05" customHeight="1"/>
    <row r="890" ht="25.05" customHeight="1"/>
    <row r="891" ht="25.05" customHeight="1"/>
    <row r="892" ht="25.05" customHeight="1"/>
    <row r="893" ht="25.05" customHeight="1"/>
    <row r="894" ht="25.05" customHeight="1"/>
    <row r="895" ht="25.05" customHeight="1"/>
    <row r="896" ht="25.05" customHeight="1"/>
    <row r="897" ht="25.05" customHeight="1"/>
    <row r="898" ht="25.05" customHeight="1"/>
    <row r="899" ht="25.05" customHeight="1"/>
    <row r="900" ht="25.05" customHeight="1"/>
    <row r="901" ht="25.05" customHeight="1"/>
    <row r="902" ht="25.05" customHeight="1"/>
    <row r="903" ht="25.05" customHeight="1"/>
    <row r="904" ht="25.05" customHeight="1"/>
    <row r="905" ht="25.05" customHeight="1"/>
    <row r="906" ht="25.05" customHeight="1"/>
    <row r="907" ht="25.05" customHeight="1"/>
    <row r="908" ht="25.05" customHeight="1"/>
    <row r="909" ht="25.05" customHeight="1"/>
    <row r="910" ht="25.05" customHeight="1"/>
    <row r="911" ht="25.05" customHeight="1"/>
    <row r="912" ht="25.05" customHeight="1"/>
    <row r="913" ht="25.05" customHeight="1"/>
    <row r="914" ht="25.05" customHeight="1"/>
    <row r="915" ht="25.05" customHeight="1"/>
    <row r="916" ht="25.05" customHeight="1"/>
    <row r="917" ht="25.05" customHeight="1"/>
    <row r="918" ht="25.05" customHeight="1"/>
    <row r="919" ht="25.05" customHeight="1"/>
    <row r="920" ht="25.05" customHeight="1"/>
    <row r="921" ht="25.05" customHeight="1"/>
    <row r="922" ht="25.05" customHeight="1"/>
    <row r="923" ht="25.05" customHeight="1"/>
    <row r="924" ht="25.05" customHeight="1"/>
    <row r="925" ht="25.05" customHeight="1"/>
    <row r="926" ht="25.05" customHeight="1"/>
    <row r="927" ht="25.05" customHeight="1"/>
    <row r="928" ht="25.05" customHeight="1"/>
    <row r="929" ht="25.05" customHeight="1"/>
    <row r="930" ht="25.05" customHeight="1"/>
    <row r="931" ht="25.05" customHeight="1"/>
    <row r="932" ht="25.05" customHeight="1"/>
    <row r="933" ht="25.05" customHeight="1"/>
    <row r="934" ht="25.05" customHeight="1"/>
    <row r="935" ht="25.05" customHeight="1"/>
    <row r="936" ht="25.05" customHeight="1"/>
    <row r="937" ht="25.05" customHeight="1"/>
    <row r="938" ht="25.05" customHeight="1"/>
    <row r="939" ht="25.05" customHeight="1"/>
    <row r="940" ht="25.05" customHeight="1"/>
    <row r="941" ht="25.05" customHeight="1"/>
    <row r="942" ht="25.05" customHeight="1"/>
    <row r="943" ht="25.05" customHeight="1"/>
    <row r="944" ht="25.05" customHeight="1"/>
    <row r="945" ht="25.05" customHeight="1"/>
    <row r="946" ht="25.05" customHeight="1"/>
    <row r="947" ht="25.05" customHeight="1"/>
    <row r="948" ht="25.05" customHeight="1"/>
    <row r="949" ht="25.05" customHeight="1"/>
    <row r="950" ht="25.05" customHeight="1"/>
    <row r="951" ht="25.05" customHeight="1"/>
    <row r="952" ht="25.05" customHeight="1"/>
    <row r="953" ht="25.05" customHeight="1"/>
    <row r="954" ht="25.05" customHeight="1"/>
    <row r="955" ht="25.05" customHeight="1"/>
    <row r="956" ht="25.05" customHeight="1"/>
    <row r="957" ht="25.05" customHeight="1"/>
    <row r="958" ht="25.05" customHeight="1"/>
    <row r="959" ht="25.05" customHeight="1"/>
    <row r="960" ht="25.05" customHeight="1"/>
    <row r="961" ht="25.05" customHeight="1"/>
    <row r="962" ht="25.05" customHeight="1"/>
    <row r="963" ht="25.05" customHeight="1"/>
    <row r="964" ht="25.05" customHeight="1"/>
    <row r="965" ht="25.05" customHeight="1"/>
    <row r="966" ht="25.05" customHeight="1"/>
    <row r="967" ht="25.05" customHeight="1"/>
    <row r="968" ht="25.05" customHeight="1"/>
    <row r="969" ht="25.05" customHeight="1"/>
    <row r="970" ht="25.05" customHeight="1"/>
    <row r="971" ht="25.05" customHeight="1"/>
    <row r="972" ht="25.05" customHeight="1"/>
    <row r="973" ht="25.05" customHeight="1"/>
    <row r="974" ht="25.05" customHeight="1"/>
    <row r="975" ht="25.05" customHeight="1"/>
    <row r="976" ht="25.05" customHeight="1"/>
    <row r="977" ht="25.05" customHeight="1"/>
    <row r="978" ht="25.05" customHeight="1"/>
    <row r="979" ht="25.05" customHeight="1"/>
    <row r="980" ht="25.05" customHeight="1"/>
    <row r="981" ht="25.05" customHeight="1"/>
    <row r="982" ht="25.05" customHeight="1"/>
    <row r="983" ht="25.05" customHeight="1"/>
    <row r="984" ht="25.05" customHeight="1"/>
    <row r="985" ht="25.05" customHeight="1"/>
    <row r="986" ht="25.05" customHeight="1"/>
    <row r="987" ht="25.05" customHeight="1"/>
    <row r="988" ht="25.05" customHeight="1"/>
    <row r="989" ht="25.05" customHeight="1"/>
    <row r="990" ht="25.05" customHeight="1"/>
    <row r="991" ht="25.05" customHeight="1"/>
    <row r="992" ht="25.05" customHeight="1"/>
    <row r="993" ht="25.05" customHeight="1"/>
    <row r="994" ht="25.05" customHeight="1"/>
    <row r="995" ht="25.05" customHeight="1"/>
    <row r="996" ht="25.05" customHeight="1"/>
    <row r="997" ht="25.05" customHeight="1"/>
    <row r="998" ht="25.05" customHeight="1"/>
    <row r="999" ht="25.05" customHeight="1"/>
    <row r="1000" ht="25.05" customHeight="1"/>
    <row r="1001" ht="25.05" customHeight="1"/>
    <row r="1002" ht="25.05" customHeight="1"/>
    <row r="1003" ht="25.05" customHeight="1"/>
    <row r="1004" ht="25.05" customHeight="1"/>
    <row r="1005" ht="25.05" customHeight="1"/>
    <row r="1006" ht="25.05" customHeight="1"/>
    <row r="1007" ht="25.05" customHeight="1"/>
    <row r="1008" ht="25.05" customHeight="1"/>
    <row r="1009" ht="25.05" customHeight="1"/>
    <row r="1010" ht="25.05" customHeight="1"/>
    <row r="1011" ht="25.05" customHeight="1"/>
    <row r="1012" ht="25.05" customHeight="1"/>
    <row r="1013" ht="25.05" customHeight="1"/>
    <row r="1014" ht="25.05" customHeight="1"/>
    <row r="1015" ht="25.05" customHeight="1"/>
    <row r="1016" ht="25.05" customHeight="1"/>
    <row r="1017" ht="25.05" customHeight="1"/>
    <row r="1018" ht="25.05" customHeight="1"/>
    <row r="1019" ht="25.05" customHeight="1"/>
    <row r="1020" ht="25.05" customHeight="1"/>
    <row r="1021" ht="25.05" customHeight="1"/>
    <row r="1022" ht="25.05" customHeight="1"/>
    <row r="1023" ht="25.05" customHeight="1"/>
    <row r="1024" ht="25.05" customHeight="1"/>
    <row r="1025" ht="25.05" customHeight="1"/>
    <row r="1026" ht="25.05" customHeight="1"/>
    <row r="1027" ht="25.05" customHeight="1"/>
    <row r="1028" ht="25.05" customHeight="1"/>
    <row r="1029" ht="25.05" customHeight="1"/>
    <row r="1030" ht="25.05" customHeight="1"/>
    <row r="1031" ht="25.05" customHeight="1"/>
    <row r="1032" ht="25.05" customHeight="1"/>
    <row r="1033" ht="25.05" customHeight="1"/>
    <row r="1034" ht="25.05" customHeight="1"/>
    <row r="1035" ht="25.05" customHeight="1"/>
    <row r="1036" ht="25.05" customHeight="1"/>
    <row r="1037" ht="25.05" customHeight="1"/>
    <row r="1038" ht="25.05" customHeight="1"/>
    <row r="1039" ht="25.05" customHeight="1"/>
    <row r="1040" ht="25.05" customHeight="1"/>
    <row r="1041" ht="25.05" customHeight="1"/>
    <row r="1042" ht="25.05" customHeight="1"/>
    <row r="1043" ht="25.05" customHeight="1"/>
    <row r="1044" ht="25.05" customHeight="1"/>
    <row r="1045" ht="25.05" customHeight="1"/>
    <row r="1046" ht="25.05" customHeight="1"/>
    <row r="1047" ht="25.05" customHeight="1"/>
    <row r="1048" ht="25.05" customHeight="1"/>
    <row r="1049" ht="25.05" customHeight="1"/>
    <row r="1050" ht="25.05" customHeight="1"/>
    <row r="1051" ht="25.05" customHeight="1"/>
    <row r="1052" ht="25.05" customHeight="1"/>
    <row r="1053" ht="25.05" customHeight="1"/>
    <row r="1054" ht="25.05" customHeight="1"/>
    <row r="1055" ht="25.05" customHeight="1"/>
    <row r="1056" ht="25.05" customHeight="1"/>
    <row r="1057" ht="25.05" customHeight="1"/>
    <row r="1058" ht="25.05" customHeight="1"/>
    <row r="1059" ht="25.05" customHeight="1"/>
    <row r="1060" ht="25.05" customHeight="1"/>
    <row r="1061" ht="25.05" customHeight="1"/>
    <row r="1062" ht="25.05" customHeight="1"/>
    <row r="1063" ht="25.05" customHeight="1"/>
    <row r="1064" ht="25.05" customHeight="1"/>
    <row r="1065" ht="25.05" customHeight="1"/>
    <row r="1066" ht="25.05" customHeight="1"/>
    <row r="1067" ht="25.05" customHeight="1"/>
    <row r="1068" ht="25.05" customHeight="1"/>
    <row r="1069" ht="25.05" customHeight="1"/>
    <row r="1070" ht="25.05" customHeight="1"/>
    <row r="1071" ht="25.05" customHeight="1"/>
    <row r="1072" ht="25.05" customHeight="1"/>
    <row r="1073" ht="25.05" customHeight="1"/>
    <row r="1074" ht="25.05" customHeight="1"/>
    <row r="1075" ht="25.05" customHeight="1"/>
    <row r="1076" ht="25.05" customHeight="1"/>
    <row r="1077" ht="25.05" customHeight="1"/>
    <row r="1078" ht="25.05" customHeight="1"/>
    <row r="1079" ht="25.05" customHeight="1"/>
    <row r="1080" ht="25.05" customHeight="1"/>
    <row r="1081" ht="25.05" customHeight="1"/>
    <row r="1082" ht="25.05" customHeight="1"/>
    <row r="1083" ht="25.05" customHeight="1"/>
    <row r="1084" ht="25.05" customHeight="1"/>
    <row r="1085" ht="25.05" customHeight="1"/>
    <row r="1086" ht="25.05" customHeight="1"/>
    <row r="1087" ht="25.05" customHeight="1"/>
    <row r="1088" ht="25.05" customHeight="1"/>
    <row r="1089" ht="25.05" customHeight="1"/>
    <row r="1090" ht="25.05" customHeight="1"/>
    <row r="1091" ht="25.05" customHeight="1"/>
    <row r="1092" ht="25.05" customHeight="1"/>
    <row r="1093" ht="25.05" customHeight="1"/>
    <row r="1094" ht="25.05" customHeight="1"/>
    <row r="1095" ht="25.05" customHeight="1"/>
    <row r="1096" ht="25.05" customHeight="1"/>
    <row r="1097" ht="25.05" customHeight="1"/>
    <row r="1098" ht="25.05" customHeight="1"/>
    <row r="1099" ht="25.05" customHeight="1"/>
    <row r="1100" ht="25.05" customHeight="1"/>
    <row r="1101" ht="25.05" customHeight="1"/>
    <row r="1102" ht="25.05" customHeight="1"/>
    <row r="1103" ht="25.05" customHeight="1"/>
    <row r="1104" ht="25.05" customHeight="1"/>
    <row r="1105" ht="25.05" customHeight="1"/>
    <row r="1106" ht="25.05" customHeight="1"/>
    <row r="1107" ht="25.05" customHeight="1"/>
    <row r="1108" ht="25.05" customHeight="1"/>
    <row r="1109" ht="25.05" customHeight="1"/>
    <row r="1110" ht="25.05" customHeight="1"/>
    <row r="1111" ht="25.05" customHeight="1"/>
    <row r="1112" ht="25.05" customHeight="1"/>
    <row r="1113" ht="25.05" customHeight="1"/>
    <row r="1114" ht="25.05" customHeight="1"/>
    <row r="1115" ht="25.05" customHeight="1"/>
    <row r="1116" ht="25.05" customHeight="1"/>
    <row r="1117" ht="25.05" customHeight="1"/>
    <row r="1118" ht="25.05" customHeight="1"/>
    <row r="1119" ht="25.05" customHeight="1"/>
    <row r="1120" ht="25.05" customHeight="1"/>
    <row r="1121" ht="25.05" customHeight="1"/>
    <row r="1122" ht="25.05" customHeight="1"/>
    <row r="1123" ht="25.05" customHeight="1"/>
    <row r="1124" ht="25.05" customHeight="1"/>
    <row r="1125" ht="25.05" customHeight="1"/>
    <row r="1126" ht="25.05" customHeight="1"/>
    <row r="1127" ht="25.05" customHeight="1"/>
    <row r="1128" ht="25.05" customHeight="1"/>
    <row r="1129" ht="25.05" customHeight="1"/>
    <row r="1130" ht="25.05" customHeight="1"/>
    <row r="1131" ht="25.05" customHeight="1"/>
    <row r="1132" ht="25.05" customHeight="1"/>
    <row r="1133" ht="25.05" customHeight="1"/>
    <row r="1134" ht="25.05" customHeight="1"/>
    <row r="1135" ht="25.05" customHeight="1"/>
    <row r="1136" ht="25.05" customHeight="1"/>
    <row r="1137" ht="25.05" customHeight="1"/>
    <row r="1138" ht="25.05" customHeight="1"/>
    <row r="1139" ht="25.05" customHeight="1"/>
    <row r="1140" ht="25.05" customHeight="1"/>
    <row r="1141" ht="25.05" customHeight="1"/>
    <row r="1142" ht="25.05" customHeight="1"/>
    <row r="1143" ht="25.05" customHeight="1"/>
    <row r="1144" ht="25.05" customHeight="1"/>
    <row r="1145" ht="25.05" customHeight="1"/>
    <row r="1146" ht="25.05" customHeight="1"/>
    <row r="1147" ht="25.05" customHeight="1"/>
    <row r="1148" ht="25.05" customHeight="1"/>
    <row r="1149" ht="25.05" customHeight="1"/>
    <row r="1150" ht="25.05" customHeight="1"/>
    <row r="1151" ht="25.05" customHeight="1"/>
    <row r="1152" ht="25.05" customHeight="1"/>
    <row r="1153" ht="25.05" customHeight="1"/>
    <row r="1154" ht="25.05" customHeight="1"/>
    <row r="1155" ht="25.05" customHeight="1"/>
    <row r="1156" ht="25.05" customHeight="1"/>
    <row r="1157" ht="25.05" customHeight="1"/>
    <row r="1158" ht="25.05" customHeight="1"/>
    <row r="1159" ht="25.05" customHeight="1"/>
    <row r="1160" ht="25.05" customHeight="1"/>
    <row r="1161" ht="25.05" customHeight="1"/>
    <row r="1162" ht="25.05" customHeight="1"/>
    <row r="1163" ht="25.05" customHeight="1"/>
    <row r="1164" ht="25.05" customHeight="1"/>
    <row r="1165" ht="25.05" customHeight="1"/>
    <row r="1166" ht="25.05" customHeight="1"/>
    <row r="1167" ht="25.05" customHeight="1"/>
    <row r="1168" ht="25.05" customHeight="1"/>
    <row r="1169" ht="25.05" customHeight="1"/>
    <row r="1170" ht="25.05" customHeight="1"/>
    <row r="1171" ht="25.05" customHeight="1"/>
    <row r="1172" ht="25.05" customHeight="1"/>
    <row r="1173" ht="25.05" customHeight="1"/>
    <row r="1174" ht="25.05" customHeight="1"/>
    <row r="1175" ht="25.05" customHeight="1"/>
    <row r="1176" ht="25.05" customHeight="1"/>
    <row r="1177" ht="25.05" customHeight="1"/>
    <row r="1178" ht="25.05" customHeight="1"/>
    <row r="1179" ht="25.05" customHeight="1"/>
    <row r="1180" ht="25.05" customHeight="1"/>
    <row r="1181" ht="25.05" customHeight="1"/>
    <row r="1182" ht="25.05" customHeight="1"/>
    <row r="1183" ht="25.05" customHeight="1"/>
    <row r="1184" ht="25.05" customHeight="1"/>
    <row r="1185" ht="25.05" customHeight="1"/>
    <row r="1186" ht="25.05" customHeight="1"/>
    <row r="1187" ht="25.05" customHeight="1"/>
    <row r="1188" ht="25.05" customHeight="1"/>
    <row r="1189" ht="25.05" customHeight="1"/>
    <row r="1190" ht="25.05" customHeight="1"/>
    <row r="1191" ht="25.05" customHeight="1"/>
    <row r="1192" ht="25.05" customHeight="1"/>
    <row r="1193" ht="25.05" customHeight="1"/>
    <row r="1194" ht="25.05" customHeight="1"/>
    <row r="1195" ht="25.05" customHeight="1"/>
    <row r="1196" ht="25.05" customHeight="1"/>
    <row r="1197" ht="25.05" customHeight="1"/>
    <row r="1198" ht="25.05" customHeight="1"/>
    <row r="1199" ht="25.05" customHeight="1"/>
    <row r="1200" ht="25.05" customHeight="1"/>
    <row r="1201" ht="25.05" customHeight="1"/>
    <row r="1202" ht="25.05" customHeight="1"/>
    <row r="1203" ht="25.05" customHeight="1"/>
    <row r="1204" ht="25.05" customHeight="1"/>
    <row r="1205" ht="25.05" customHeight="1"/>
    <row r="1206" ht="25.05" customHeight="1"/>
    <row r="1207" ht="25.05" customHeight="1"/>
    <row r="1208" ht="25.05" customHeight="1"/>
    <row r="1209" ht="25.05" customHeight="1"/>
    <row r="1210" ht="25.05" customHeight="1"/>
    <row r="1211" ht="25.05" customHeight="1"/>
    <row r="1212" ht="25.05" customHeight="1"/>
    <row r="1213" ht="25.05" customHeight="1"/>
    <row r="1214" ht="25.05" customHeight="1"/>
    <row r="1215" ht="25.05" customHeight="1"/>
    <row r="1216" ht="25.05" customHeight="1"/>
    <row r="1217" ht="25.05" customHeight="1"/>
    <row r="1218" ht="25.05" customHeight="1"/>
    <row r="1219" ht="25.05" customHeight="1"/>
    <row r="1220" ht="25.05" customHeight="1"/>
    <row r="1221" ht="25.05" customHeight="1"/>
    <row r="1222" ht="25.05" customHeight="1"/>
    <row r="1223" ht="25.05" customHeight="1"/>
    <row r="1224" ht="25.05" customHeight="1"/>
    <row r="1225" ht="25.05" customHeight="1"/>
    <row r="1226" ht="25.05" customHeight="1"/>
    <row r="1227" ht="25.05" customHeight="1"/>
    <row r="1228" ht="25.05" customHeight="1"/>
    <row r="1229" ht="25.05" customHeight="1"/>
    <row r="1230" ht="25.05" customHeight="1"/>
    <row r="1231" ht="25.05" customHeight="1"/>
    <row r="1232" ht="25.05" customHeight="1"/>
    <row r="1233" ht="25.05" customHeight="1"/>
    <row r="1234" ht="25.05" customHeight="1"/>
    <row r="1235" ht="25.05" customHeight="1"/>
    <row r="1236" ht="25.05" customHeight="1"/>
    <row r="1237" ht="25.05" customHeight="1"/>
    <row r="1238" ht="25.05" customHeight="1"/>
    <row r="1239" ht="25.05" customHeight="1"/>
    <row r="1240" ht="25.05" customHeight="1"/>
    <row r="1241" ht="25.05" customHeight="1"/>
    <row r="1242" ht="25.05" customHeight="1"/>
    <row r="1243" ht="25.05" customHeight="1"/>
    <row r="1244" ht="25.05" customHeight="1"/>
    <row r="1245" ht="25.05" customHeight="1"/>
    <row r="1246" ht="25.05" customHeight="1"/>
    <row r="1247" ht="25.05" customHeight="1"/>
    <row r="1248" ht="25.05" customHeight="1"/>
    <row r="1249" ht="25.05" customHeight="1"/>
    <row r="1250" ht="25.05" customHeight="1"/>
    <row r="1251" ht="25.05" customHeight="1"/>
    <row r="1252" ht="25.05" customHeight="1"/>
    <row r="1253" ht="25.05" customHeight="1"/>
    <row r="1254" ht="25.05" customHeight="1"/>
    <row r="1255" ht="25.05" customHeight="1"/>
    <row r="1256" ht="25.05" customHeight="1"/>
    <row r="1257" ht="25.05" customHeight="1"/>
    <row r="1258" ht="25.05" customHeight="1"/>
    <row r="1259" ht="25.05" customHeight="1"/>
    <row r="1260" ht="25.05" customHeight="1"/>
    <row r="1261" ht="25.05" customHeight="1"/>
    <row r="1262" ht="25.05" customHeight="1"/>
    <row r="1263" ht="25.05" customHeight="1"/>
    <row r="1264" ht="25.05" customHeight="1"/>
    <row r="1265" ht="25.05" customHeight="1"/>
    <row r="1266" ht="25.05" customHeight="1"/>
    <row r="1267" ht="25.05" customHeight="1"/>
    <row r="1268" ht="25.05" customHeight="1"/>
    <row r="1269" ht="25.05" customHeight="1"/>
    <row r="1270" ht="25.05" customHeight="1"/>
    <row r="1271" ht="25.05" customHeight="1"/>
    <row r="1272" ht="25.05" customHeight="1"/>
    <row r="1273" ht="25.05" customHeight="1"/>
    <row r="1274" ht="25.05" customHeight="1"/>
    <row r="1275" ht="25.05" customHeight="1"/>
    <row r="1276" ht="25.05" customHeight="1"/>
    <row r="1277" ht="25.05" customHeight="1"/>
    <row r="1278" ht="25.05" customHeight="1"/>
    <row r="1279" ht="25.05" customHeight="1"/>
    <row r="1280" ht="25.05" customHeight="1"/>
    <row r="1281" ht="25.05" customHeight="1"/>
    <row r="1282" ht="25.05" customHeight="1"/>
    <row r="1283" ht="25.05" customHeight="1"/>
    <row r="1284" ht="25.05" customHeight="1"/>
    <row r="1285" ht="25.05" customHeight="1"/>
    <row r="1286" ht="25.05" customHeight="1"/>
    <row r="1287" ht="25.05" customHeight="1"/>
    <row r="1288" ht="25.05" customHeight="1"/>
    <row r="1289" ht="25.05" customHeight="1"/>
    <row r="1290" ht="25.05" customHeight="1"/>
    <row r="1291" ht="25.05" customHeight="1"/>
    <row r="1292" ht="25.05" customHeight="1"/>
    <row r="1293" ht="25.05" customHeight="1"/>
    <row r="1294" ht="25.05" customHeight="1"/>
    <row r="1295" ht="25.05" customHeight="1"/>
    <row r="1296" ht="25.05" customHeight="1"/>
    <row r="1297" ht="25.05" customHeight="1"/>
    <row r="1298" ht="25.05" customHeight="1"/>
    <row r="1299" ht="25.05" customHeight="1"/>
    <row r="1300" ht="25.05" customHeight="1"/>
    <row r="1301" ht="25.05" customHeight="1"/>
    <row r="1302" ht="25.05" customHeight="1"/>
    <row r="1303" ht="25.05" customHeight="1"/>
    <row r="1304" ht="25.05" customHeight="1"/>
    <row r="1305" ht="25.05" customHeight="1"/>
    <row r="1306" ht="25.05" customHeight="1"/>
    <row r="1307" ht="25.05" customHeight="1"/>
    <row r="1308" ht="25.05" customHeight="1"/>
    <row r="1309" ht="25.05" customHeight="1"/>
    <row r="1310" ht="25.05" customHeight="1"/>
    <row r="1311" ht="25.05" customHeight="1"/>
    <row r="1312" ht="25.05" customHeight="1"/>
    <row r="1313" ht="25.05" customHeight="1"/>
    <row r="1314" ht="25.05" customHeight="1"/>
    <row r="1315" ht="25.05" customHeight="1"/>
    <row r="1316" ht="25.05" customHeight="1"/>
    <row r="1317" ht="25.05" customHeight="1"/>
    <row r="1318" ht="25.05" customHeight="1"/>
    <row r="1319" ht="25.05" customHeight="1"/>
    <row r="1320" ht="25.05" customHeight="1"/>
    <row r="1321" ht="25.05" customHeight="1"/>
    <row r="1322" ht="25.05" customHeight="1"/>
    <row r="1323" ht="25.05" customHeight="1"/>
    <row r="1324" ht="25.05" customHeight="1"/>
    <row r="1325" ht="25.05" customHeight="1"/>
    <row r="1326" ht="25.05" customHeight="1"/>
    <row r="1327" ht="25.05" customHeight="1"/>
    <row r="1328" ht="25.05" customHeight="1"/>
    <row r="1329" ht="25.05" customHeight="1"/>
    <row r="1330" ht="25.05" customHeight="1"/>
    <row r="1331" ht="25.05" customHeight="1"/>
    <row r="1332" ht="25.05" customHeight="1"/>
    <row r="1333" ht="25.05" customHeight="1"/>
    <row r="1334" ht="25.05" customHeight="1"/>
    <row r="1335" ht="25.05" customHeight="1"/>
    <row r="1336" ht="25.05" customHeight="1"/>
    <row r="1337" ht="25.05" customHeight="1"/>
    <row r="1338" ht="25.05" customHeight="1"/>
    <row r="1339" ht="25.05" customHeight="1"/>
    <row r="1340" ht="25.05" customHeight="1"/>
    <row r="1341" ht="25.05" customHeight="1"/>
    <row r="1342" ht="25.05" customHeight="1"/>
    <row r="1343" ht="25.05" customHeight="1"/>
    <row r="1344" ht="25.05" customHeight="1"/>
    <row r="1345" ht="25.05" customHeight="1"/>
    <row r="1346" ht="25.05" customHeight="1"/>
    <row r="1347" ht="25.05" customHeight="1"/>
    <row r="1348" ht="25.05" customHeight="1"/>
    <row r="1349" ht="25.05" customHeight="1"/>
    <row r="1350" ht="25.05" customHeight="1"/>
    <row r="1351" ht="25.05" customHeight="1"/>
    <row r="1352" ht="25.05" customHeight="1"/>
    <row r="1353" ht="25.05" customHeight="1"/>
    <row r="1354" ht="25.05" customHeight="1"/>
    <row r="1355" ht="25.05" customHeight="1"/>
    <row r="1356" ht="25.05" customHeight="1"/>
    <row r="1357" ht="25.05" customHeight="1"/>
    <row r="1358" ht="25.05" customHeight="1"/>
    <row r="1359" ht="25.05" customHeight="1"/>
    <row r="1360" ht="25.05" customHeight="1"/>
    <row r="1361" ht="25.05" customHeight="1"/>
    <row r="1362" ht="25.05" customHeight="1"/>
    <row r="1363" ht="25.05" customHeight="1"/>
    <row r="1364" ht="25.05" customHeight="1"/>
    <row r="1365" ht="25.05" customHeight="1"/>
    <row r="1366" ht="25.05" customHeight="1"/>
    <row r="1367" ht="25.05" customHeight="1"/>
    <row r="1368" ht="25.05" customHeight="1"/>
    <row r="1369" ht="25.05" customHeight="1"/>
    <row r="1370" ht="25.05" customHeight="1"/>
    <row r="1371" ht="25.05" customHeight="1"/>
    <row r="1372" ht="25.05" customHeight="1"/>
    <row r="1373" ht="25.05" customHeight="1"/>
    <row r="1374" ht="25.05" customHeight="1"/>
    <row r="1375" ht="25.05" customHeight="1"/>
    <row r="1376" ht="25.05" customHeight="1"/>
    <row r="1377" ht="25.05" customHeight="1"/>
    <row r="1378" ht="25.05" customHeight="1"/>
    <row r="1379" ht="25.05" customHeight="1"/>
    <row r="1380" ht="25.05" customHeight="1"/>
    <row r="1381" ht="25.05" customHeight="1"/>
    <row r="1382" ht="25.05" customHeight="1"/>
    <row r="1383" ht="25.05" customHeight="1"/>
    <row r="1384" ht="25.05" customHeight="1"/>
    <row r="1385" ht="25.05" customHeight="1"/>
    <row r="1386" ht="25.05" customHeight="1"/>
    <row r="1387" ht="25.05" customHeight="1"/>
    <row r="1388" ht="25.05" customHeight="1"/>
    <row r="1389" ht="25.05" customHeight="1"/>
    <row r="1390" ht="25.05" customHeight="1"/>
    <row r="1391" ht="25.05" customHeight="1"/>
    <row r="1392" ht="25.05" customHeight="1"/>
    <row r="1393" ht="25.05" customHeight="1"/>
    <row r="1394" ht="25.05" customHeight="1"/>
    <row r="1395" ht="25.05" customHeight="1"/>
    <row r="1396" ht="25.05" customHeight="1"/>
    <row r="1397" ht="25.05" customHeight="1"/>
    <row r="1398" ht="25.05" customHeight="1"/>
    <row r="1399" ht="25.05" customHeight="1"/>
    <row r="1400" ht="25.05" customHeight="1"/>
    <row r="1401" ht="25.05" customHeight="1"/>
    <row r="1402" ht="25.05" customHeight="1"/>
    <row r="1403" ht="25.05" customHeight="1"/>
    <row r="1404" ht="25.05" customHeight="1"/>
    <row r="1405" ht="25.05" customHeight="1"/>
    <row r="1406" ht="25.05" customHeight="1"/>
    <row r="1407" ht="25.05" customHeight="1"/>
    <row r="1408" ht="25.05" customHeight="1"/>
    <row r="1409" ht="25.05" customHeight="1"/>
    <row r="1410" ht="25.05" customHeight="1"/>
    <row r="1411" ht="25.05" customHeight="1"/>
    <row r="1412" ht="25.05" customHeight="1"/>
    <row r="1413" ht="25.05" customHeight="1"/>
    <row r="1414" ht="25.05" customHeight="1"/>
    <row r="1415" ht="25.05" customHeight="1"/>
    <row r="1416" ht="25.05" customHeight="1"/>
    <row r="1417" ht="25.05" customHeight="1"/>
    <row r="1418" ht="25.05" customHeight="1"/>
    <row r="1419" ht="25.05" customHeight="1"/>
    <row r="1420" ht="25.05" customHeight="1"/>
    <row r="1421" ht="25.05" customHeight="1"/>
    <row r="1422" ht="25.05" customHeight="1"/>
    <row r="1423" ht="25.05" customHeight="1"/>
    <row r="1424" ht="25.05" customHeight="1"/>
    <row r="1425" ht="25.05" customHeight="1"/>
    <row r="1426" ht="25.05" customHeight="1"/>
    <row r="1427" ht="25.05" customHeight="1"/>
    <row r="1428" ht="25.05" customHeight="1"/>
    <row r="1429" ht="25.05" customHeight="1"/>
    <row r="1430" ht="25.05" customHeight="1"/>
    <row r="1431" ht="25.05" customHeight="1"/>
    <row r="1432" ht="25.05" customHeight="1"/>
    <row r="1433" ht="25.05" customHeight="1"/>
    <row r="1434" ht="25.05" customHeight="1"/>
    <row r="1435" ht="25.05" customHeight="1"/>
    <row r="1436" ht="25.05" customHeight="1"/>
    <row r="1437" ht="25.05" customHeight="1"/>
    <row r="1438" ht="25.05" customHeight="1"/>
    <row r="1439" ht="25.05" customHeight="1"/>
    <row r="1440" ht="25.05" customHeight="1"/>
    <row r="1441" ht="25.05" customHeight="1"/>
    <row r="1442" ht="25.05" customHeight="1"/>
    <row r="1443" ht="25.05" customHeight="1"/>
    <row r="1444" ht="25.05" customHeight="1"/>
    <row r="1445" ht="25.05" customHeight="1"/>
    <row r="1446" ht="25.05" customHeight="1"/>
    <row r="1447" ht="25.05" customHeight="1"/>
    <row r="1448" ht="25.05" customHeight="1"/>
    <row r="1449" ht="25.05" customHeight="1"/>
    <row r="1450" ht="25.05" customHeight="1"/>
    <row r="1451" ht="25.05" customHeight="1"/>
    <row r="1452" ht="25.05" customHeight="1"/>
    <row r="1453" ht="25.05" customHeight="1"/>
    <row r="1454" ht="25.05" customHeight="1"/>
    <row r="1455" ht="25.05" customHeight="1"/>
    <row r="1456" ht="25.05" customHeight="1"/>
    <row r="1457" ht="25.05" customHeight="1"/>
    <row r="1458" ht="25.05" customHeight="1"/>
    <row r="1459" ht="25.05" customHeight="1"/>
    <row r="1460" ht="25.05" customHeight="1"/>
    <row r="1461" ht="25.05" customHeight="1"/>
    <row r="1462" ht="25.05" customHeight="1"/>
    <row r="1463" ht="25.05" customHeight="1"/>
    <row r="1464" ht="25.05" customHeight="1"/>
    <row r="1465" ht="25.05" customHeight="1"/>
    <row r="1466" ht="25.05" customHeight="1"/>
    <row r="1467" ht="25.05" customHeight="1"/>
    <row r="1468" ht="25.05" customHeight="1"/>
    <row r="1469" ht="25.05" customHeight="1"/>
    <row r="1470" ht="25.05" customHeight="1"/>
    <row r="1471" ht="25.05" customHeight="1"/>
    <row r="1472" ht="25.05" customHeight="1"/>
    <row r="1473" ht="25.05" customHeight="1"/>
    <row r="1474" ht="25.05" customHeight="1"/>
    <row r="1475" ht="25.05" customHeight="1"/>
    <row r="1476" ht="25.05" customHeight="1"/>
    <row r="1477" ht="25.05" customHeight="1"/>
    <row r="1478" ht="25.05" customHeight="1"/>
    <row r="1479" ht="25.05" customHeight="1"/>
    <row r="1480" ht="25.05" customHeight="1"/>
    <row r="1481" ht="25.05" customHeight="1"/>
    <row r="1482" ht="25.05" customHeight="1"/>
    <row r="1483" ht="25.05" customHeight="1"/>
    <row r="1484" ht="25.05" customHeight="1"/>
    <row r="1485" ht="25.05" customHeight="1"/>
    <row r="1486" ht="25.05" customHeight="1"/>
    <row r="1487" ht="25.05" customHeight="1"/>
    <row r="1488" ht="25.05" customHeight="1"/>
    <row r="1489" ht="25.05" customHeight="1"/>
    <row r="1490" ht="25.05" customHeight="1"/>
    <row r="1491" ht="25.05" customHeight="1"/>
    <row r="1492" ht="25.05" customHeight="1"/>
    <row r="1493" ht="25.05" customHeight="1"/>
    <row r="1494" ht="25.05" customHeight="1"/>
    <row r="1495" ht="25.05" customHeight="1"/>
    <row r="1496" ht="25.05" customHeight="1"/>
    <row r="1497" ht="25.05" customHeight="1"/>
    <row r="1498" ht="25.05" customHeight="1"/>
    <row r="1499" ht="25.05" customHeight="1"/>
    <row r="1500" ht="25.05" customHeight="1"/>
    <row r="1501" ht="25.05" customHeight="1"/>
    <row r="1502" ht="25.05" customHeight="1"/>
    <row r="1503" ht="25.05" customHeight="1"/>
    <row r="1504" ht="25.05" customHeight="1"/>
    <row r="1505" ht="25.05" customHeight="1"/>
    <row r="1506" ht="25.05" customHeight="1"/>
    <row r="1507" ht="25.05" customHeight="1"/>
    <row r="1508" ht="25.05" customHeight="1"/>
    <row r="1509" ht="25.05" customHeight="1"/>
    <row r="1510" ht="25.05" customHeight="1"/>
    <row r="1511" ht="25.05" customHeight="1"/>
    <row r="1512" ht="25.05" customHeight="1"/>
    <row r="1513" ht="25.05" customHeight="1"/>
    <row r="1514" ht="25.05" customHeight="1"/>
    <row r="1515" ht="25.05" customHeight="1"/>
    <row r="1516" ht="25.05" customHeight="1"/>
    <row r="1517" ht="25.05" customHeight="1"/>
    <row r="1518" ht="25.05" customHeight="1"/>
    <row r="1519" ht="25.05" customHeight="1"/>
    <row r="1520" ht="25.05" customHeight="1"/>
    <row r="1521" ht="25.05" customHeight="1"/>
    <row r="1522" ht="25.05" customHeight="1"/>
    <row r="1523" ht="25.05" customHeight="1"/>
    <row r="1524" ht="25.05" customHeight="1"/>
    <row r="1525" ht="25.05" customHeight="1"/>
    <row r="1526" ht="25.05" customHeight="1"/>
    <row r="1527" ht="25.05" customHeight="1"/>
    <row r="1528" ht="25.05" customHeight="1"/>
    <row r="1529" ht="25.05" customHeight="1"/>
    <row r="1530" ht="25.05" customHeight="1"/>
    <row r="1531" ht="25.05" customHeight="1"/>
    <row r="1532" ht="25.05" customHeight="1"/>
    <row r="1533" ht="25.05" customHeight="1"/>
    <row r="1534" ht="25.05" customHeight="1"/>
    <row r="1535" ht="25.05" customHeight="1"/>
    <row r="1536" ht="25.05" customHeight="1"/>
    <row r="1537" ht="25.05" customHeight="1"/>
    <row r="1538" ht="25.05" customHeight="1"/>
    <row r="1539" ht="25.05" customHeight="1"/>
    <row r="1540" ht="25.05" customHeight="1"/>
    <row r="1541" ht="25.05" customHeight="1"/>
    <row r="1542" ht="25.05" customHeight="1"/>
    <row r="1543" ht="25.05" customHeight="1"/>
    <row r="1544" ht="25.05" customHeight="1"/>
    <row r="1545" ht="25.05" customHeight="1"/>
    <row r="1546" ht="25.05" customHeight="1"/>
    <row r="1547" ht="25.05" customHeight="1"/>
    <row r="1548" ht="25.05" customHeight="1"/>
    <row r="1549" ht="25.05" customHeight="1"/>
    <row r="1550" ht="25.05" customHeight="1"/>
    <row r="1551" ht="25.05" customHeight="1"/>
    <row r="1552" ht="25.05" customHeight="1"/>
    <row r="1553" ht="25.05" customHeight="1"/>
    <row r="1554" ht="25.05" customHeight="1"/>
    <row r="1555" ht="25.05" customHeight="1"/>
    <row r="1556" ht="25.05" customHeight="1"/>
    <row r="1557" ht="25.05" customHeight="1"/>
    <row r="1558" ht="25.05" customHeight="1"/>
    <row r="1559" ht="25.05" customHeight="1"/>
    <row r="1560" ht="25.05" customHeight="1"/>
    <row r="1561" ht="25.05" customHeight="1"/>
    <row r="1562" ht="25.05" customHeight="1"/>
    <row r="1563" ht="25.05" customHeight="1"/>
    <row r="1564" ht="25.05" customHeight="1"/>
    <row r="1565" ht="25.05" customHeight="1"/>
    <row r="1566" ht="25.05" customHeight="1"/>
    <row r="1567" ht="25.05" customHeight="1"/>
    <row r="1568" ht="25.05" customHeight="1"/>
    <row r="1569" ht="25.05" customHeight="1"/>
    <row r="1570" ht="25.05" customHeight="1"/>
    <row r="1571" ht="25.05" customHeight="1"/>
    <row r="1572" ht="25.05" customHeight="1"/>
    <row r="1573" ht="25.05" customHeight="1"/>
    <row r="1574" ht="25.05" customHeight="1"/>
    <row r="1575" ht="25.05" customHeight="1"/>
    <row r="1576" ht="25.05" customHeight="1"/>
    <row r="1577" ht="25.05" customHeight="1"/>
    <row r="1578" ht="25.05" customHeight="1"/>
    <row r="1579" ht="25.05" customHeight="1"/>
    <row r="1580" ht="25.05" customHeight="1"/>
    <row r="1581" ht="25.05" customHeight="1"/>
    <row r="1582" ht="25.05" customHeight="1"/>
    <row r="1583" ht="25.05" customHeight="1"/>
    <row r="1584" ht="25.05" customHeight="1"/>
    <row r="1585" ht="25.05" customHeight="1"/>
    <row r="1586" ht="25.05" customHeight="1"/>
    <row r="1587" ht="25.05" customHeight="1"/>
    <row r="1588" ht="25.05" customHeight="1"/>
    <row r="1589" ht="25.05" customHeight="1"/>
    <row r="1590" ht="25.05" customHeight="1"/>
    <row r="1591" ht="25.05" customHeight="1"/>
    <row r="1592" ht="25.05" customHeight="1"/>
    <row r="1593" ht="25.05" customHeight="1"/>
    <row r="1594" ht="25.05" customHeight="1"/>
    <row r="1595" ht="25.05" customHeight="1"/>
    <row r="1596" ht="25.05" customHeight="1"/>
    <row r="1597" ht="25.05" customHeight="1"/>
    <row r="1598" ht="25.05" customHeight="1"/>
    <row r="1599" ht="25.05" customHeight="1"/>
    <row r="1600" ht="25.05" customHeight="1"/>
    <row r="1601" ht="25.05" customHeight="1"/>
    <row r="1602" ht="25.05" customHeight="1"/>
    <row r="1603" ht="25.05" customHeight="1"/>
    <row r="1604" ht="25.05" customHeight="1"/>
    <row r="1605" ht="25.05" customHeight="1"/>
    <row r="1606" ht="25.05" customHeight="1"/>
    <row r="1607" ht="25.05" customHeight="1"/>
    <row r="1608" ht="25.05" customHeight="1"/>
    <row r="1609" ht="25.05" customHeight="1"/>
    <row r="1610" ht="25.05" customHeight="1"/>
    <row r="1611" ht="25.05" customHeight="1"/>
    <row r="1612" ht="25.05" customHeight="1"/>
    <row r="1613" ht="25.05" customHeight="1"/>
    <row r="1614" ht="25.05" customHeight="1"/>
    <row r="1615" ht="25.05" customHeight="1"/>
    <row r="1616" ht="25.05" customHeight="1"/>
    <row r="1617" ht="25.05" customHeight="1"/>
    <row r="1618" ht="25.05" customHeight="1"/>
    <row r="1619" ht="25.05" customHeight="1"/>
    <row r="1620" ht="25.05" customHeight="1"/>
    <row r="1621" ht="25.05" customHeight="1"/>
    <row r="1622" ht="25.05" customHeight="1"/>
    <row r="1623" ht="25.05" customHeight="1"/>
    <row r="1624" ht="25.05" customHeight="1"/>
    <row r="1625" ht="25.05" customHeight="1"/>
    <row r="1626" ht="25.05" customHeight="1"/>
    <row r="1627" ht="25.05" customHeight="1"/>
    <row r="1628" ht="25.05" customHeight="1"/>
    <row r="1629" ht="25.05" customHeight="1"/>
    <row r="1630" ht="25.05" customHeight="1"/>
    <row r="1631" ht="25.05" customHeight="1"/>
    <row r="1632" ht="25.05" customHeight="1"/>
    <row r="1633" ht="25.05" customHeight="1"/>
    <row r="1634" ht="25.05" customHeight="1"/>
    <row r="1635" ht="25.05" customHeight="1"/>
    <row r="1636" ht="25.05" customHeight="1"/>
    <row r="1637" ht="25.05" customHeight="1"/>
    <row r="1638" ht="25.05" customHeight="1"/>
    <row r="1639" ht="25.05" customHeight="1"/>
    <row r="1640" ht="25.05" customHeight="1"/>
    <row r="1641" ht="25.05" customHeight="1"/>
    <row r="1642" ht="25.05" customHeight="1"/>
    <row r="1643" ht="25.05" customHeight="1"/>
    <row r="1644" ht="25.05" customHeight="1"/>
    <row r="1645" ht="25.05" customHeight="1"/>
    <row r="1646" ht="25.05" customHeight="1"/>
    <row r="1647" ht="25.05" customHeight="1"/>
    <row r="1648" ht="25.05" customHeight="1"/>
    <row r="1649" ht="25.05" customHeight="1"/>
    <row r="1650" ht="25.05" customHeight="1"/>
    <row r="1651" ht="25.05" customHeight="1"/>
    <row r="1652" ht="25.05" customHeight="1"/>
    <row r="1653" ht="25.05" customHeight="1"/>
    <row r="1654" ht="25.05" customHeight="1"/>
    <row r="1655" ht="25.05" customHeight="1"/>
    <row r="1656" ht="25.05" customHeight="1"/>
    <row r="1657" ht="25.05" customHeight="1"/>
    <row r="1658" ht="25.05" customHeight="1"/>
    <row r="1659" ht="25.05" customHeight="1"/>
    <row r="1660" ht="25.05" customHeight="1"/>
    <row r="1661" ht="25.05" customHeight="1"/>
    <row r="1662" ht="25.05" customHeight="1"/>
    <row r="1663" ht="25.05" customHeight="1"/>
    <row r="1664" ht="25.05" customHeight="1"/>
    <row r="1665" ht="25.05" customHeight="1"/>
    <row r="1666" ht="25.05" customHeight="1"/>
    <row r="1667" ht="25.05" customHeight="1"/>
    <row r="1668" ht="25.05" customHeight="1"/>
    <row r="1669" ht="25.05" customHeight="1"/>
    <row r="1670" ht="25.05" customHeight="1"/>
    <row r="1671" ht="25.05" customHeight="1"/>
    <row r="1672" ht="25.05" customHeight="1"/>
    <row r="1673" ht="25.05" customHeight="1"/>
    <row r="1674" ht="25.05" customHeight="1"/>
    <row r="1675" ht="25.05" customHeight="1"/>
    <row r="1676" ht="25.05" customHeight="1"/>
    <row r="1677" ht="25.05" customHeight="1"/>
    <row r="1678" ht="25.05" customHeight="1"/>
    <row r="1679" ht="25.05" customHeight="1"/>
    <row r="1680" ht="25.05" customHeight="1"/>
    <row r="1681" ht="25.05" customHeight="1"/>
    <row r="1682" ht="25.05" customHeight="1"/>
    <row r="1683" ht="25.05" customHeight="1"/>
    <row r="1684" ht="25.05" customHeight="1"/>
    <row r="1685" ht="25.05" customHeight="1"/>
    <row r="1686" ht="25.05" customHeight="1"/>
    <row r="1687" ht="40.049999999999997" customHeight="1"/>
  </sheetData>
  <phoneticPr fontId="15" type="noConversion"/>
  <conditionalFormatting sqref="B2:B197">
    <cfRule type="expression" dxfId="5" priority="2">
      <formula>$B2="잔액"</formula>
    </cfRule>
    <cfRule type="expression" dxfId="4" priority="3">
      <formula>$B2="신규취급액"</formula>
    </cfRule>
  </conditionalFormatting>
  <conditionalFormatting sqref="D2:D197">
    <cfRule type="expression" dxfId="3" priority="1">
      <formula>LEFT($D2,1)="1"</formula>
    </cfRule>
  </conditionalFormatting>
  <conditionalFormatting sqref="H2:H197">
    <cfRule type="cellIs" dxfId="2" priority="4" operator="greaterThan">
      <formula>0</formula>
    </cfRule>
    <cfRule type="cellIs" dxfId="1" priority="5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5758B"/>
  </sheetPr>
  <dimension ref="A1:E76"/>
  <sheetViews>
    <sheetView showGridLines="0" workbookViewId="0"/>
  </sheetViews>
  <sheetFormatPr defaultRowHeight="13.8"/>
  <cols>
    <col min="1" max="1" width="37.5" customWidth="1"/>
    <col min="2" max="3" width="16.8984375" customWidth="1"/>
    <col min="4" max="4" width="41.19921875" customWidth="1"/>
    <col min="5" max="5" width="20" customWidth="1"/>
  </cols>
  <sheetData>
    <row r="1" spans="1:5" ht="24" customHeight="1">
      <c r="A1" s="2" t="s">
        <v>289</v>
      </c>
      <c r="B1" s="1"/>
      <c r="C1" s="1"/>
      <c r="D1" s="1"/>
      <c r="E1" s="1"/>
    </row>
    <row r="2" spans="1:5" ht="24" customHeight="1">
      <c r="A2" s="3"/>
      <c r="B2" s="3"/>
      <c r="C2" s="3"/>
      <c r="D2" s="3"/>
      <c r="E2" s="3"/>
    </row>
    <row r="3" spans="1:5" ht="24" customHeight="1">
      <c r="A3" s="1"/>
      <c r="B3" s="1"/>
      <c r="C3" s="1"/>
      <c r="D3" s="1"/>
      <c r="E3" s="1"/>
    </row>
    <row r="4" spans="1:5" ht="24" customHeight="1">
      <c r="A4" s="12" t="s">
        <v>290</v>
      </c>
      <c r="B4" s="1"/>
      <c r="C4" s="1"/>
      <c r="D4" s="1"/>
      <c r="E4" s="1"/>
    </row>
    <row r="5" spans="1:5" ht="24" customHeight="1">
      <c r="A5" s="12" t="s">
        <v>291</v>
      </c>
      <c r="B5" s="1"/>
      <c r="C5" s="1"/>
      <c r="D5" s="1"/>
      <c r="E5" s="1"/>
    </row>
    <row r="6" spans="1:5" ht="24" customHeight="1">
      <c r="A6" s="4" t="s">
        <v>292</v>
      </c>
      <c r="B6" s="1"/>
      <c r="C6" s="1"/>
      <c r="D6" s="1"/>
      <c r="E6" s="1"/>
    </row>
    <row r="7" spans="1:5" ht="24" customHeight="1">
      <c r="A7" s="4" t="s">
        <v>293</v>
      </c>
      <c r="B7" s="1"/>
      <c r="C7" s="1"/>
      <c r="D7" s="1"/>
      <c r="E7" s="1"/>
    </row>
    <row r="8" spans="1:5" ht="24" customHeight="1">
      <c r="A8" s="4" t="s">
        <v>294</v>
      </c>
      <c r="B8" s="1"/>
      <c r="C8" s="1"/>
      <c r="D8" s="1"/>
      <c r="E8" s="1"/>
    </row>
    <row r="9" spans="1:5" ht="24" customHeight="1">
      <c r="A9" s="4" t="s">
        <v>295</v>
      </c>
      <c r="B9" s="1"/>
      <c r="C9" s="1"/>
      <c r="D9" s="1"/>
      <c r="E9" s="1"/>
    </row>
    <row r="10" spans="1:5" ht="24" customHeight="1">
      <c r="A10" s="12" t="s">
        <v>296</v>
      </c>
      <c r="B10" s="1"/>
      <c r="C10" s="1"/>
      <c r="D10" s="1"/>
      <c r="E10" s="1"/>
    </row>
    <row r="11" spans="1:5" ht="24" customHeight="1">
      <c r="A11" s="12" t="s">
        <v>297</v>
      </c>
      <c r="B11" s="1"/>
      <c r="C11" s="1"/>
      <c r="D11" s="1"/>
      <c r="E11" s="1"/>
    </row>
    <row r="12" spans="1:5" ht="24" customHeight="1">
      <c r="A12" s="15" t="s">
        <v>298</v>
      </c>
      <c r="B12" s="1"/>
      <c r="C12" s="1"/>
      <c r="D12" s="1"/>
      <c r="E12" s="1"/>
    </row>
    <row r="13" spans="1:5" ht="24" customHeight="1">
      <c r="A13" s="12" t="s">
        <v>299</v>
      </c>
      <c r="B13" s="1"/>
      <c r="C13" s="1"/>
      <c r="D13" s="1"/>
      <c r="E13" s="1"/>
    </row>
    <row r="14" spans="1:5" ht="24" customHeight="1">
      <c r="A14" s="4" t="s">
        <v>300</v>
      </c>
      <c r="B14" s="1"/>
      <c r="C14" s="1"/>
      <c r="D14" s="1"/>
      <c r="E14" s="1"/>
    </row>
    <row r="15" spans="1:5" ht="24" customHeight="1">
      <c r="A15" s="4" t="s">
        <v>301</v>
      </c>
      <c r="B15" s="1"/>
      <c r="C15" s="1"/>
      <c r="D15" s="1"/>
      <c r="E15" s="1"/>
    </row>
    <row r="16" spans="1:5" ht="24" customHeight="1">
      <c r="A16" s="13" t="s">
        <v>302</v>
      </c>
      <c r="B16" s="1"/>
      <c r="C16" s="1"/>
      <c r="D16" s="1"/>
      <c r="E16" s="1"/>
    </row>
    <row r="17" spans="1:5" ht="24" customHeight="1">
      <c r="A17" s="1"/>
      <c r="B17" s="1"/>
      <c r="C17" s="1"/>
      <c r="D17" s="1"/>
      <c r="E17" s="1"/>
    </row>
    <row r="18" spans="1:5" ht="24" customHeight="1">
      <c r="A18" s="5" t="s">
        <v>303</v>
      </c>
      <c r="B18" s="1"/>
      <c r="C18" s="1"/>
      <c r="D18" s="1"/>
      <c r="E18" s="1"/>
    </row>
    <row r="19" spans="1:5" ht="24" customHeight="1">
      <c r="A19" s="6" t="s">
        <v>304</v>
      </c>
      <c r="B19" s="7" t="s">
        <v>305</v>
      </c>
      <c r="C19" s="7" t="s">
        <v>306</v>
      </c>
      <c r="D19" s="7" t="s">
        <v>307</v>
      </c>
      <c r="E19" s="8" t="s">
        <v>308</v>
      </c>
    </row>
    <row r="20" spans="1:5" ht="28.05" customHeight="1">
      <c r="A20" s="1" t="s">
        <v>22</v>
      </c>
      <c r="B20" s="1" t="s">
        <v>309</v>
      </c>
      <c r="C20" s="1" t="s">
        <v>310</v>
      </c>
      <c r="D20" s="1" t="s">
        <v>311</v>
      </c>
      <c r="E20" s="1" t="s">
        <v>312</v>
      </c>
    </row>
    <row r="21" spans="1:5" ht="28.05" customHeight="1">
      <c r="A21" s="1" t="s">
        <v>192</v>
      </c>
      <c r="B21" s="1" t="s">
        <v>313</v>
      </c>
      <c r="C21" s="1" t="s">
        <v>314</v>
      </c>
      <c r="D21" s="1" t="s">
        <v>315</v>
      </c>
      <c r="E21" s="1" t="s">
        <v>316</v>
      </c>
    </row>
    <row r="22" spans="1:5" ht="28.05" customHeight="1">
      <c r="A22" s="1" t="s">
        <v>62</v>
      </c>
      <c r="B22" s="1" t="s">
        <v>313</v>
      </c>
      <c r="C22" s="1" t="s">
        <v>314</v>
      </c>
      <c r="D22" s="1" t="s">
        <v>315</v>
      </c>
      <c r="E22" s="1" t="s">
        <v>316</v>
      </c>
    </row>
    <row r="23" spans="1:5" ht="28.05" customHeight="1">
      <c r="A23" s="1" t="s">
        <v>179</v>
      </c>
      <c r="B23" s="1" t="s">
        <v>317</v>
      </c>
      <c r="C23" s="1" t="s">
        <v>318</v>
      </c>
      <c r="D23" s="1" t="s">
        <v>315</v>
      </c>
      <c r="E23" s="1" t="s">
        <v>316</v>
      </c>
    </row>
    <row r="24" spans="1:5" ht="28.05" customHeight="1">
      <c r="A24" s="1" t="s">
        <v>49</v>
      </c>
      <c r="B24" s="1" t="s">
        <v>317</v>
      </c>
      <c r="C24" s="1" t="s">
        <v>318</v>
      </c>
      <c r="D24" s="1" t="s">
        <v>315</v>
      </c>
      <c r="E24" s="1" t="s">
        <v>316</v>
      </c>
    </row>
    <row r="25" spans="1:5" ht="28.05" customHeight="1">
      <c r="A25" s="1" t="s">
        <v>166</v>
      </c>
      <c r="B25" s="1" t="s">
        <v>319</v>
      </c>
      <c r="C25" s="1" t="s">
        <v>310</v>
      </c>
      <c r="D25" s="1" t="s">
        <v>315</v>
      </c>
      <c r="E25" s="1" t="s">
        <v>316</v>
      </c>
    </row>
    <row r="26" spans="1:5" ht="28.05" customHeight="1">
      <c r="A26" s="1" t="s">
        <v>24</v>
      </c>
      <c r="B26" s="1" t="s">
        <v>319</v>
      </c>
      <c r="C26" s="1" t="s">
        <v>310</v>
      </c>
      <c r="D26" s="1" t="s">
        <v>315</v>
      </c>
      <c r="E26" s="1" t="s">
        <v>316</v>
      </c>
    </row>
    <row r="27" spans="1:5" ht="28.05" customHeight="1">
      <c r="A27" s="1" t="s">
        <v>320</v>
      </c>
      <c r="B27" s="1" t="s">
        <v>321</v>
      </c>
      <c r="C27" s="1" t="s">
        <v>322</v>
      </c>
      <c r="D27" s="1" t="s">
        <v>323</v>
      </c>
      <c r="E27" s="1" t="s">
        <v>324</v>
      </c>
    </row>
    <row r="28" spans="1:5" ht="24" customHeight="1">
      <c r="A28" s="1"/>
      <c r="B28" s="1"/>
      <c r="C28" s="1"/>
      <c r="D28" s="1"/>
      <c r="E28" s="1"/>
    </row>
    <row r="29" spans="1:5" ht="24" customHeight="1">
      <c r="A29" s="1"/>
      <c r="B29" s="1"/>
      <c r="C29" s="1"/>
      <c r="D29" s="1"/>
      <c r="E29" s="1"/>
    </row>
    <row r="30" spans="1:5" ht="24" customHeight="1">
      <c r="A30" s="5" t="s">
        <v>325</v>
      </c>
      <c r="B30" s="1"/>
      <c r="C30" s="1"/>
      <c r="D30" s="1"/>
      <c r="E30" s="1"/>
    </row>
    <row r="31" spans="1:5" ht="24" customHeight="1">
      <c r="A31" s="4" t="s">
        <v>326</v>
      </c>
      <c r="B31" s="1"/>
      <c r="C31" s="1"/>
      <c r="D31" s="1"/>
      <c r="E31" s="1"/>
    </row>
    <row r="32" spans="1:5" ht="24" customHeight="1">
      <c r="A32" s="1"/>
      <c r="B32" s="1"/>
      <c r="C32" s="1"/>
      <c r="D32" s="1"/>
      <c r="E32" s="1"/>
    </row>
    <row r="33" spans="1:5" ht="24" customHeight="1">
      <c r="A33" s="6" t="s">
        <v>327</v>
      </c>
      <c r="B33" s="7" t="s">
        <v>328</v>
      </c>
      <c r="C33" s="7" t="s">
        <v>329</v>
      </c>
      <c r="D33" s="7" t="s">
        <v>304</v>
      </c>
      <c r="E33" s="8" t="s">
        <v>330</v>
      </c>
    </row>
    <row r="34" spans="1:5" ht="24" customHeight="1">
      <c r="A34" s="9">
        <v>43664</v>
      </c>
      <c r="B34" s="10">
        <v>1.4999999999999999E-2</v>
      </c>
      <c r="C34" s="1" t="s">
        <v>331</v>
      </c>
      <c r="D34" s="1" t="s">
        <v>320</v>
      </c>
      <c r="E34" s="1" t="s">
        <v>332</v>
      </c>
    </row>
    <row r="35" spans="1:5" ht="24" customHeight="1">
      <c r="A35" s="9">
        <v>43754</v>
      </c>
      <c r="B35" s="10">
        <v>1.2500000000000001E-2</v>
      </c>
      <c r="C35" s="1" t="s">
        <v>331</v>
      </c>
      <c r="D35" s="1" t="s">
        <v>320</v>
      </c>
      <c r="E35" s="1" t="s">
        <v>333</v>
      </c>
    </row>
    <row r="36" spans="1:5" ht="24" customHeight="1">
      <c r="A36" s="9">
        <v>43907</v>
      </c>
      <c r="B36" s="10">
        <v>7.4999999999999997E-3</v>
      </c>
      <c r="C36" s="1" t="s">
        <v>331</v>
      </c>
      <c r="D36" s="1" t="s">
        <v>320</v>
      </c>
      <c r="E36" s="1" t="s">
        <v>334</v>
      </c>
    </row>
    <row r="37" spans="1:5" ht="24" customHeight="1">
      <c r="A37" s="9">
        <v>43979</v>
      </c>
      <c r="B37" s="10">
        <v>5.0000000000000001E-3</v>
      </c>
      <c r="C37" s="1" t="s">
        <v>331</v>
      </c>
      <c r="D37" s="1" t="s">
        <v>320</v>
      </c>
      <c r="E37" s="1" t="s">
        <v>335</v>
      </c>
    </row>
    <row r="38" spans="1:5" ht="24" customHeight="1">
      <c r="A38" s="9">
        <v>44434</v>
      </c>
      <c r="B38" s="10">
        <v>7.4999999999999997E-3</v>
      </c>
      <c r="C38" s="1" t="s">
        <v>331</v>
      </c>
      <c r="D38" s="1" t="s">
        <v>320</v>
      </c>
      <c r="E38" s="1" t="s">
        <v>336</v>
      </c>
    </row>
    <row r="39" spans="1:5" ht="24" customHeight="1">
      <c r="A39" s="9">
        <v>44525</v>
      </c>
      <c r="B39" s="10">
        <v>0.01</v>
      </c>
      <c r="C39" s="1" t="s">
        <v>331</v>
      </c>
      <c r="D39" s="1" t="s">
        <v>320</v>
      </c>
      <c r="E39" s="1" t="s">
        <v>337</v>
      </c>
    </row>
    <row r="40" spans="1:5" ht="24" customHeight="1">
      <c r="A40" s="9">
        <v>44575</v>
      </c>
      <c r="B40" s="10">
        <v>1.2500000000000001E-2</v>
      </c>
      <c r="C40" s="1" t="s">
        <v>331</v>
      </c>
      <c r="D40" s="1" t="s">
        <v>320</v>
      </c>
      <c r="E40" s="1" t="s">
        <v>338</v>
      </c>
    </row>
    <row r="41" spans="1:5" ht="24" customHeight="1">
      <c r="A41" s="9">
        <v>44665</v>
      </c>
      <c r="B41" s="10">
        <v>1.4999999999999999E-2</v>
      </c>
      <c r="C41" s="1" t="s">
        <v>331</v>
      </c>
      <c r="D41" s="1" t="s">
        <v>320</v>
      </c>
      <c r="E41" s="1" t="s">
        <v>339</v>
      </c>
    </row>
    <row r="42" spans="1:5" ht="24" customHeight="1">
      <c r="A42" s="9">
        <v>44707</v>
      </c>
      <c r="B42" s="10">
        <v>1.7500000000000002E-2</v>
      </c>
      <c r="C42" s="1" t="s">
        <v>331</v>
      </c>
      <c r="D42" s="1" t="s">
        <v>320</v>
      </c>
      <c r="E42" s="1" t="s">
        <v>340</v>
      </c>
    </row>
    <row r="43" spans="1:5" ht="24" customHeight="1">
      <c r="A43" s="9">
        <v>44755</v>
      </c>
      <c r="B43" s="10">
        <v>2.2499999999999999E-2</v>
      </c>
      <c r="C43" s="1" t="s">
        <v>331</v>
      </c>
      <c r="D43" s="1" t="s">
        <v>320</v>
      </c>
      <c r="E43" s="1" t="s">
        <v>341</v>
      </c>
    </row>
    <row r="44" spans="1:5" ht="24" customHeight="1">
      <c r="A44" s="9">
        <v>44798</v>
      </c>
      <c r="B44" s="10">
        <v>2.5000000000000001E-2</v>
      </c>
      <c r="C44" s="1" t="s">
        <v>331</v>
      </c>
      <c r="D44" s="1" t="s">
        <v>320</v>
      </c>
      <c r="E44" s="1" t="s">
        <v>342</v>
      </c>
    </row>
    <row r="45" spans="1:5" ht="24" customHeight="1">
      <c r="A45" s="9">
        <v>44846</v>
      </c>
      <c r="B45" s="10">
        <v>0.03</v>
      </c>
      <c r="C45" s="1" t="s">
        <v>331</v>
      </c>
      <c r="D45" s="1" t="s">
        <v>320</v>
      </c>
      <c r="E45" s="1" t="s">
        <v>343</v>
      </c>
    </row>
    <row r="46" spans="1:5" ht="24" customHeight="1">
      <c r="A46" s="9">
        <v>44889</v>
      </c>
      <c r="B46" s="10">
        <v>3.2500000000000001E-2</v>
      </c>
      <c r="C46" s="1" t="s">
        <v>331</v>
      </c>
      <c r="D46" s="1" t="s">
        <v>320</v>
      </c>
      <c r="E46" s="1" t="s">
        <v>344</v>
      </c>
    </row>
    <row r="47" spans="1:5" ht="24" customHeight="1">
      <c r="A47" s="9">
        <v>44939</v>
      </c>
      <c r="B47" s="10">
        <v>3.5000000000000003E-2</v>
      </c>
      <c r="C47" s="1" t="s">
        <v>331</v>
      </c>
      <c r="D47" s="1" t="s">
        <v>320</v>
      </c>
      <c r="E47" s="1" t="s">
        <v>345</v>
      </c>
    </row>
    <row r="48" spans="1:5" ht="24" customHeight="1">
      <c r="A48" s="9">
        <v>45576</v>
      </c>
      <c r="B48" s="10">
        <v>3.2500000000000001E-2</v>
      </c>
      <c r="C48" s="1" t="s">
        <v>331</v>
      </c>
      <c r="D48" s="1" t="s">
        <v>320</v>
      </c>
      <c r="E48" s="1" t="s">
        <v>346</v>
      </c>
    </row>
    <row r="49" spans="1:5" ht="24" customHeight="1">
      <c r="A49" s="9">
        <v>45624</v>
      </c>
      <c r="B49" s="10">
        <v>0.03</v>
      </c>
      <c r="C49" s="1" t="s">
        <v>331</v>
      </c>
      <c r="D49" s="1" t="s">
        <v>320</v>
      </c>
      <c r="E49" s="1" t="s">
        <v>347</v>
      </c>
    </row>
    <row r="50" spans="1:5" ht="24" customHeight="1">
      <c r="A50" s="9">
        <v>45713</v>
      </c>
      <c r="B50" s="10">
        <v>2.75E-2</v>
      </c>
      <c r="C50" s="1" t="s">
        <v>331</v>
      </c>
      <c r="D50" s="1" t="s">
        <v>320</v>
      </c>
      <c r="E50" s="1" t="s">
        <v>348</v>
      </c>
    </row>
    <row r="51" spans="1:5" ht="24" customHeight="1">
      <c r="A51" s="9">
        <v>45806</v>
      </c>
      <c r="B51" s="10">
        <v>2.5000000000000001E-2</v>
      </c>
      <c r="C51" s="1" t="s">
        <v>331</v>
      </c>
      <c r="D51" s="1" t="s">
        <v>320</v>
      </c>
      <c r="E51" s="1" t="s">
        <v>349</v>
      </c>
    </row>
    <row r="52" spans="1:5" ht="24" customHeight="1">
      <c r="A52" s="9">
        <v>46219</v>
      </c>
      <c r="B52" s="10">
        <v>2.75E-2</v>
      </c>
      <c r="C52" s="1" t="s">
        <v>331</v>
      </c>
      <c r="D52" s="1" t="s">
        <v>320</v>
      </c>
      <c r="E52" s="1" t="s">
        <v>350</v>
      </c>
    </row>
    <row r="53" spans="1:5" ht="24" customHeight="1">
      <c r="A53" s="9">
        <v>46261</v>
      </c>
      <c r="B53" s="10">
        <v>0.03</v>
      </c>
      <c r="C53" s="1" t="s">
        <v>331</v>
      </c>
      <c r="D53" s="1" t="s">
        <v>320</v>
      </c>
      <c r="E53" s="1" t="s">
        <v>351</v>
      </c>
    </row>
    <row r="54" spans="1:5" ht="24" customHeight="1">
      <c r="A54" s="1"/>
      <c r="B54" s="1"/>
      <c r="C54" s="1"/>
      <c r="D54" s="1"/>
      <c r="E54" s="1"/>
    </row>
    <row r="55" spans="1:5" ht="24" customHeight="1">
      <c r="A55" s="1"/>
      <c r="B55" s="1"/>
      <c r="C55" s="1"/>
      <c r="D55" s="1"/>
      <c r="E55" s="1"/>
    </row>
    <row r="56" spans="1:5" ht="24" customHeight="1">
      <c r="A56" s="5" t="s">
        <v>352</v>
      </c>
      <c r="B56" s="1"/>
      <c r="C56" s="1"/>
      <c r="D56" s="1"/>
      <c r="E56" s="1"/>
    </row>
    <row r="57" spans="1:5" ht="24" customHeight="1">
      <c r="A57" s="6" t="s">
        <v>353</v>
      </c>
      <c r="B57" s="7" t="s">
        <v>1</v>
      </c>
      <c r="C57" s="7" t="s">
        <v>354</v>
      </c>
      <c r="D57" s="7" t="s">
        <v>355</v>
      </c>
      <c r="E57" s="8" t="s">
        <v>356</v>
      </c>
    </row>
    <row r="58" spans="1:5" ht="37.950000000000003" customHeight="1">
      <c r="A58" s="11" t="s">
        <v>357</v>
      </c>
      <c r="B58" s="11" t="s">
        <v>163</v>
      </c>
      <c r="C58" s="11" t="s">
        <v>164</v>
      </c>
      <c r="D58" s="11" t="s">
        <v>357</v>
      </c>
      <c r="E58" s="11" t="s">
        <v>358</v>
      </c>
    </row>
    <row r="59" spans="1:5" ht="37.950000000000003" customHeight="1">
      <c r="A59" s="11" t="s">
        <v>359</v>
      </c>
      <c r="B59" s="11" t="s">
        <v>163</v>
      </c>
      <c r="C59" s="11" t="s">
        <v>206</v>
      </c>
      <c r="D59" s="11" t="s">
        <v>359</v>
      </c>
      <c r="E59" s="11" t="s">
        <v>360</v>
      </c>
    </row>
    <row r="60" spans="1:5" ht="37.950000000000003" customHeight="1">
      <c r="A60" s="11" t="s">
        <v>361</v>
      </c>
      <c r="B60" s="11" t="s">
        <v>163</v>
      </c>
      <c r="C60" s="11" t="s">
        <v>252</v>
      </c>
      <c r="D60" s="11" t="s">
        <v>362</v>
      </c>
      <c r="E60" s="11" t="s">
        <v>363</v>
      </c>
    </row>
    <row r="61" spans="1:5" ht="37.950000000000003" customHeight="1">
      <c r="A61" s="11" t="s">
        <v>364</v>
      </c>
      <c r="B61" s="11" t="s">
        <v>17</v>
      </c>
      <c r="C61" s="11" t="s">
        <v>119</v>
      </c>
      <c r="D61" s="11" t="s">
        <v>364</v>
      </c>
      <c r="E61" s="11" t="s">
        <v>365</v>
      </c>
    </row>
    <row r="62" spans="1:5" ht="37.950000000000003" customHeight="1">
      <c r="A62" s="11" t="s">
        <v>357</v>
      </c>
      <c r="B62" s="11" t="s">
        <v>17</v>
      </c>
      <c r="C62" s="11" t="s">
        <v>21</v>
      </c>
      <c r="D62" s="11" t="s">
        <v>357</v>
      </c>
      <c r="E62" s="11" t="s">
        <v>358</v>
      </c>
    </row>
    <row r="63" spans="1:5" ht="37.950000000000003" customHeight="1">
      <c r="A63" s="11" t="s">
        <v>366</v>
      </c>
      <c r="B63" s="11" t="s">
        <v>17</v>
      </c>
      <c r="C63" s="11" t="s">
        <v>72</v>
      </c>
      <c r="D63" s="11" t="s">
        <v>367</v>
      </c>
      <c r="E63" s="11" t="s">
        <v>368</v>
      </c>
    </row>
    <row r="64" spans="1:5" ht="24" customHeight="1">
      <c r="A64" s="1"/>
      <c r="B64" s="1"/>
      <c r="C64" s="1"/>
      <c r="D64" s="1"/>
      <c r="E64" s="1"/>
    </row>
    <row r="65" spans="1:5" ht="24" customHeight="1">
      <c r="A65" s="4" t="s">
        <v>369</v>
      </c>
      <c r="B65" s="1"/>
      <c r="C65" s="1"/>
      <c r="D65" s="1"/>
      <c r="E65" s="1"/>
    </row>
    <row r="66" spans="1:5" ht="24" customHeight="1">
      <c r="A66" s="4" t="s">
        <v>370</v>
      </c>
      <c r="B66" s="1"/>
      <c r="C66" s="1"/>
      <c r="D66" s="1"/>
      <c r="E66" s="1"/>
    </row>
    <row r="67" spans="1:5" ht="24" customHeight="1">
      <c r="A67" s="1"/>
      <c r="B67" s="1"/>
      <c r="C67" s="1"/>
      <c r="D67" s="1"/>
      <c r="E67" s="1"/>
    </row>
    <row r="69" spans="1:5" ht="25.05" customHeight="1">
      <c r="A69" s="14" t="s">
        <v>371</v>
      </c>
    </row>
    <row r="70" spans="1:5" ht="25.05" customHeight="1">
      <c r="A70" s="15" t="s">
        <v>372</v>
      </c>
    </row>
    <row r="71" spans="1:5" ht="25.05" customHeight="1">
      <c r="A71" s="15" t="s">
        <v>373</v>
      </c>
    </row>
    <row r="72" spans="1:5" ht="25.05" customHeight="1">
      <c r="A72" s="15" t="s">
        <v>374</v>
      </c>
    </row>
    <row r="73" spans="1:5" ht="25.05" customHeight="1">
      <c r="A73" s="15" t="s">
        <v>375</v>
      </c>
    </row>
    <row r="74" spans="1:5" ht="25.05" customHeight="1">
      <c r="A74" s="15" t="s">
        <v>376</v>
      </c>
    </row>
    <row r="75" spans="1:5" ht="25.05" customHeight="1">
      <c r="A75" s="15" t="s">
        <v>377</v>
      </c>
    </row>
    <row r="76" spans="1:5" ht="25.05" customHeight="1">
      <c r="A76" s="12" t="s">
        <v>378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금리 통합비교</vt:lpstr>
      <vt:lpstr>출처 및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campus4 D055</cp:lastModifiedBy>
  <dcterms:modified xsi:type="dcterms:W3CDTF">2026-09-22T08:07:35Z</dcterms:modified>
</cp:coreProperties>
</file>